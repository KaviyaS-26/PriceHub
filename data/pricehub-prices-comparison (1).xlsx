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e" sheetId="1" state="visible" r:id="rId3"/>
    <sheet name="Overview" sheetId="2" state="visible" r:id="rId4"/>
    <sheet name="Products" sheetId="3" state="visible" r:id="rId5"/>
    <sheet name="By Category" sheetId="4" state="visible" r:id="rId6"/>
    <sheet name="Weigh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<sst xmlns="http://schemas.openxmlformats.org/spreadsheetml/2006/main" count="407" uniqueCount="113">
  <si>
    <t xml:space="preserve">PriceHub — Compare One Product on 3 Marketplaces</t>
  </si>
  <si>
    <t xml:space="preserve">Collected data (15-17 Oct 2026), not live. The best marketplace is calculated each time from price, warranty and rating. Nothing is stored in advance.</t>
  </si>
  <si>
    <t xml:space="preserve">Select a product:</t>
  </si>
  <si>
    <t xml:space="preserve">Wireless Bluetooth Neckband Earphones</t>
  </si>
  <si>
    <t xml:space="preserve">Marketplace</t>
  </si>
  <si>
    <t xml:space="preserve">Price (₹)</t>
  </si>
  <si>
    <t xml:space="preserve">Warranty (as collected)</t>
  </si>
  <si>
    <t xml:space="preserve">Warranty (months)</t>
  </si>
  <si>
    <t xml:space="preserve">Rating (out of 5)</t>
  </si>
  <si>
    <t xml:space="preserve">In stock</t>
  </si>
  <si>
    <t xml:space="preserve">Price date</t>
  </si>
  <si>
    <t xml:space="preserve">Price score</t>
  </si>
  <si>
    <t xml:space="preserve">Rating score</t>
  </si>
  <si>
    <t xml:space="preserve">Warranty score</t>
  </si>
  <si>
    <t xml:space="preserve">Value score (0-100)</t>
  </si>
  <si>
    <t xml:space="preserve">Rank</t>
  </si>
  <si>
    <t xml:space="preserve">Price rank</t>
  </si>
  <si>
    <t xml:space="preserve">Amazon</t>
  </si>
  <si>
    <t xml:space="preserve">Flipkart</t>
  </si>
  <si>
    <t xml:space="preserve">Meesho</t>
  </si>
  <si>
    <t xml:space="preserve">Best value:</t>
  </si>
  <si>
    <t xml:space="preserve">Price there (₹):</t>
  </si>
  <si>
    <t xml:space="preserve">Lowest in-stock price on:</t>
  </si>
  <si>
    <t xml:space="preserve">Lowest in-stock price (₹):</t>
  </si>
  <si>
    <t xml:space="preserve">Why:</t>
  </si>
  <si>
    <t xml:space="preserve">Links and images for each listing are on the 'Products' sheet (columns K and L). Warranty is converted to months from your text. Out-of-stock listings are excluded from the ranking.</t>
  </si>
  <si>
    <t xml:space="preserve">PriceHub — Overview: best marketplace for each product (15 similar products × 3 marketplaces)</t>
  </si>
  <si>
    <t xml:space="preserve">Calculated live from 'Products' and 'Weights'. Nothing here is stored. Collected 15-17 Oct 2026; not live. Items are similar, not identical, products.</t>
  </si>
  <si>
    <t xml:space="preserve">Product ID</t>
  </si>
  <si>
    <t xml:space="preserve">Product</t>
  </si>
  <si>
    <t xml:space="preserve">Category</t>
  </si>
  <si>
    <t xml:space="preserve">Best-value marketplace</t>
  </si>
  <si>
    <t xml:space="preserve">Price there (₹)</t>
  </si>
  <si>
    <t xml:space="preserve">Lowest-price marketplace</t>
  </si>
  <si>
    <t xml:space="preserve">Lowest price (₹)</t>
  </si>
  <si>
    <t xml:space="preserve">Extra cost vs lowest (₹)</t>
  </si>
  <si>
    <t xml:space="preserve">Recommendation</t>
  </si>
  <si>
    <t xml:space="preserve">Other similar products in category</t>
  </si>
  <si>
    <t xml:space="preserve">Helper: category key</t>
  </si>
  <si>
    <t xml:space="preserve">PriceHub — Product Prices (similar products on Amazon, Flipkart, Meesho)</t>
  </si>
  <si>
    <t xml:space="preserve">Values you collected (prices.csv, dated 15-17 Oct 2026). Not live data. Items are similar products, not identical models.</t>
  </si>
  <si>
    <t xml:space="preserve">Blue = you edit. Black = formula. Green rows = best-value listing for that product (calculated, not stored).</t>
  </si>
  <si>
    <t xml:space="preserve">In stock (Yes/No)</t>
  </si>
  <si>
    <t xml:space="preserve">Delivery (days, optional)</t>
  </si>
  <si>
    <t xml:space="preserve">Product link</t>
  </si>
  <si>
    <t xml:space="preserve">Image link</t>
  </si>
  <si>
    <t xml:space="preserve">Delivery score</t>
  </si>
  <si>
    <t xml:space="preserve">Rank in product</t>
  </si>
  <si>
    <t xml:space="preserve">Helper: best key</t>
  </si>
  <si>
    <t xml:space="preserve">Helper: price key</t>
  </si>
  <si>
    <t xml:space="preserve">Helper: product|marketplace</t>
  </si>
  <si>
    <t xml:space="preserve">Audio</t>
  </si>
  <si>
    <t xml:space="preserve">1 Year</t>
  </si>
  <si>
    <t xml:space="preserve">Yes</t>
  </si>
  <si>
    <t xml:space="preserve">Open</t>
  </si>
  <si>
    <t xml:space="preserve">Image</t>
  </si>
  <si>
    <t xml:space="preserve">No Warranty</t>
  </si>
  <si>
    <t xml:space="preserve">True Wireless Earbuds with Charging Case</t>
  </si>
  <si>
    <t xml:space="preserve">1 Month</t>
  </si>
  <si>
    <t xml:space="preserve">Wired In-Ear Earphones with Mic</t>
  </si>
  <si>
    <t xml:space="preserve">1 year</t>
  </si>
  <si>
    <t xml:space="preserve">Women's Cotton Churidar Set</t>
  </si>
  <si>
    <t xml:space="preserve">Clothing</t>
  </si>
  <si>
    <t xml:space="preserve">Girls Cotton Party Frock</t>
  </si>
  <si>
    <t xml:space="preserve">Women's Anarkali Kurti Set</t>
  </si>
  <si>
    <t xml:space="preserve">Women's Floral Print Maxi Dress</t>
  </si>
  <si>
    <t xml:space="preserve">Men's Cotton Round Neck T-Shirt</t>
  </si>
  <si>
    <t xml:space="preserve">No</t>
  </si>
  <si>
    <t xml:space="preserve">Men's Running Sports Shoes</t>
  </si>
  <si>
    <t xml:space="preserve">Footwear</t>
  </si>
  <si>
    <t xml:space="preserve">Women's Flat Sandals</t>
  </si>
  <si>
    <t xml:space="preserve">Women's Analog Wrist Watch Metal Strap</t>
  </si>
  <si>
    <t xml:space="preserve">Watches</t>
  </si>
  <si>
    <t xml:space="preserve">2 year</t>
  </si>
  <si>
    <t xml:space="preserve">Men's Digital Sports Watch</t>
  </si>
  <si>
    <t xml:space="preserve">Women's Sling Bag</t>
  </si>
  <si>
    <t xml:space="preserve">Bags</t>
  </si>
  <si>
    <t xml:space="preserve">Home Decor Item</t>
  </si>
  <si>
    <t xml:space="preserve">Home Decor</t>
  </si>
  <si>
    <t xml:space="preserve">Kids Cycle</t>
  </si>
  <si>
    <t xml:space="preserve">Kids</t>
  </si>
  <si>
    <t xml:space="preserve">PriceHub — Similar Products by Category</t>
  </si>
  <si>
    <t xml:space="preserve">Groups the similar products so you can see the cheapest best-value pick in each category. Uses the 'Overview' sheet.</t>
  </si>
  <si>
    <t xml:space="preserve">Products in category</t>
  </si>
  <si>
    <t xml:space="preserve">Cheapest best-value price (₹)</t>
  </si>
  <si>
    <t xml:space="preserve">Cheapest item (by best-value price)</t>
  </si>
  <si>
    <t xml:space="preserve">Average best-value price (₹)</t>
  </si>
  <si>
    <t xml:space="preserve">PriceHub — Scoring Weights</t>
  </si>
  <si>
    <t xml:space="preserve">Change the blue cells to change what 'best' means. Scores are re-scaled automatically, so weights need not add up to exactly 100%.</t>
  </si>
  <si>
    <t xml:space="preserve">Factor</t>
  </si>
  <si>
    <t xml:space="preserve">Weight</t>
  </si>
  <si>
    <t xml:space="preserve">How it is scored (per product, among in-stock listings)</t>
  </si>
  <si>
    <t xml:space="preserve">Price</t>
  </si>
  <si>
    <t xml:space="preserve">Lowest price = 1, highest price = 0, others in between</t>
  </si>
  <si>
    <t xml:space="preserve">Rating</t>
  </si>
  <si>
    <t xml:space="preserve">Depends on the rating method below</t>
  </si>
  <si>
    <t xml:space="preserve">Warranty</t>
  </si>
  <si>
    <t xml:space="preserve">Longest warranty = 1, shortest = 0 (if all listings are equal, everyone scores 1)</t>
  </si>
  <si>
    <t xml:space="preserve">Delivery</t>
  </si>
  <si>
    <t xml:space="preserve">Optional. Off by default (no delivery data collected). Fill the Delivery column and raise this weight to use it</t>
  </si>
  <si>
    <t xml:space="preserve">Total</t>
  </si>
  <si>
    <t xml:space="preserve">Rating method</t>
  </si>
  <si>
    <t xml:space="preserve">Out of 5</t>
  </si>
  <si>
    <t xml:space="preserve">'Out of 5' = rating ÷ 5 (a 4.5 vs 4.4 gap stays small). 'Relative' = best rating 1, worst 0 (stretches small gaps).</t>
  </si>
  <si>
    <t xml:space="preserve">How to use this workbook</t>
  </si>
  <si>
    <t xml:space="preserve">1. On the 'Compare' sheet pick ONE product from the dropdown. The 3 marketplaces are compared side by side and the best one is worked out at that moment.</t>
  </si>
  <si>
    <t xml:space="preserve">2. Nothing is stored as 'recommended': every score, rank and recommendation is a formula that recalculates from the 'Products' data and these weights.</t>
  </si>
  <si>
    <t xml:space="preserve">3. 'Products' holds your prices.csv data (collected 15-17 Oct 2026, not live). Edit only BLUE cells. Use the same Product ID and name for the same item on different marketplaces.</t>
  </si>
  <si>
    <t xml:space="preserve">4. These are SIMILAR products, not identical models (for example the Flipkart and Meesho neckbands are different brands). Compare with that in mind.</t>
  </si>
  <si>
    <t xml:space="preserve">5. Set 'In stock' to No to exclude a listing. Leave Rating or Delivery blank if unknown: that factor is skipped and the other weights are re-scaled.</t>
  </si>
  <si>
    <t xml:space="preserve">6. Warranty is typed as text (for example '1 Year', '2 year', '1 Month', 'No Warranty') and converted to months by a formula.</t>
  </si>
  <si>
    <t xml:space="preserve">7. Scores are relative within one product. Ratings have no review counts here, so a 5.0 may rest on very few reviews.</t>
  </si>
  <si>
    <t xml:space="preserve">8. To add a product, add rows on 'Products' (formulas are filled to row 60) and type its Product ID in the next free row of 'Overview'.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</si>
</sst>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₹#,##0"/>
    <numFmt numFmtId="166" formatCode="0.0"/>
    <numFmt numFmtId="167" formatCode="dd\-mmm\-yyyy"/>
    <numFmt numFmtId="168" formatCode="0.00"/>
    <numFmt numFmtId="169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C1D95"/>
      <name val="Arial"/>
      <family val="0"/>
      <charset val="1"/>
    </font>
    <font>
      <b val="true"/>
      <sz val="10"/>
      <color rgb="FFEF4444"/>
      <name val="Arial"/>
      <family val="0"/>
      <charset val="1"/>
    </font>
    <font>
      <b val="true"/>
      <sz val="12"/>
      <color rgb="FF4C1D95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C1D95"/>
        <bgColor rgb="FF6600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DCF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FCE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F4444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4C1D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amazon.in/gp/aw/d/B0GKXZZ5N8?pd_rd_plhdr=t&amp;hsa_cr_id=0&amp;qid=1792302586&amp;sr=1-2-941ebe59-d25b-49d0-b214-12cc5b66c90f&amp;i=electronics&amp;aref=EFyFdx307F&amp;_encoding=UTF8&amp;ref_=sbx_s_sparkle_sbtcd_asin_1_img&amp;pd_rd_w=EHemX&amp;content-id=amzn1.sym.7b6188a8-103f" TargetMode="External"/><Relationship Id="rId2" Type="http://schemas.openxmlformats.org/officeDocument/2006/relationships/hyperlink" Target="https://m.media-amazon.com/images/I/61HkPvUDosL._SX522_.jpg" TargetMode="External"/><Relationship Id="rId3" Type="http://schemas.openxmlformats.org/officeDocument/2006/relationships/hyperlink" Target="https://www.flipkart.com/boat-rockerz-255-pro-60h-battery-asap-charge-app-support-bluetooth/p/itm4174f29ad0389?pid=ACCFZ95MY8SGZQRT&amp;lid=LSTACCFZ95MY8SGZQRTXHOJBL&amp;marketplace=FLIPKART&amp;q=Wireless+Bluetooth+Neckband+Earphones&amp;store=0pm%2Ffcn%2F821&amp;srno=s_1_1" TargetMode="External"/><Relationship Id="rId4" Type="http://schemas.openxmlformats.org/officeDocument/2006/relationships/hyperlink" Target="https://rukminim2.flixcart.com/image/1536/1536/xif0q/headphone/t/q/0/-original-imagzuzzrfgytsfz.jpeg?q=90" TargetMode="External"/><Relationship Id="rId5" Type="http://schemas.openxmlformats.org/officeDocument/2006/relationships/hyperlink" Target="https://www.meesho.com/tp-troops-wireless-in-ear-neckband-bluetooth-earphones-with-10mm-drivers-rich-music-experience-above-20-hours-playtime-type-c-fast-charging-neckband-earphones-with-voice-assistant-blue/p/8c5nuq" TargetMode="External"/><Relationship Id="rId6" Type="http://schemas.openxmlformats.org/officeDocument/2006/relationships/hyperlink" Target="https://images.meesho.com/images/products/504148994/jtu4k_512.avif?width=512" TargetMode="External"/><Relationship Id="rId7" Type="http://schemas.openxmlformats.org/officeDocument/2006/relationships/hyperlink" Target="https://www.amazon.in/Noise-Wireless-Earbuds-Playtime-Instacharge/dp/B0DS2SG8YP/ref=pd_bxgy_thbs_d_sccl_1/261-9460086-4962240?pd_rd_w=e8kir&amp;content-id=amzn1.sym.142c0d31-3594-485b-b879-def9251f61c0&amp;pf_rd_p=142c0d31-3594-485b-b879-def9251f61c0&amp;pf_rd_r=Y74G" TargetMode="External"/><Relationship Id="rId8" Type="http://schemas.openxmlformats.org/officeDocument/2006/relationships/hyperlink" Target="https://m.media-amazon.com/images/I/51p5RYYtMML._SX522_.jpg" TargetMode="External"/><Relationship Id="rId9" Type="http://schemas.openxmlformats.org/officeDocument/2006/relationships/hyperlink" Target="https://www.flipkart.com/goboult-z40-enc-mic-60hr-battery-metal-finish-low-latency-5-3v-bluetooth/p/itm21d4f04d5f53e?pid=ACCGKXHYZECYJRTS&amp;lid=LSTACCGKXHYZECYJRTSLEXAGC&amp;marketplace=FLIPKART&amp;q=True+Wireless+Earbuds+with+Charging+Case&amp;store=0pm%2Ffcn%2F821&amp;s" TargetMode="External"/><Relationship Id="rId10" Type="http://schemas.openxmlformats.org/officeDocument/2006/relationships/hyperlink" Target="https://rukminim2.flixcart.com/image/1536/1536/xif0q/headphone/d/a/c/-enriched-transparent-original-imahebzzqs5fspcv.png?q=90" TargetMode="External"/><Relationship Id="rId11" Type="http://schemas.openxmlformats.org/officeDocument/2006/relationships/hyperlink" Target="https://www.meesho.com/wireless-tws-earbuds-bluetooth-with-touch-control-clear-sound-music-calling-type-c-charging-point/p/hy7z63" TargetMode="External"/><Relationship Id="rId12" Type="http://schemas.openxmlformats.org/officeDocument/2006/relationships/hyperlink" Target="https://images.meesho.com/images/products/1085404107/goy6x_512.avif?width=512" TargetMode="External"/><Relationship Id="rId13" Type="http://schemas.openxmlformats.org/officeDocument/2006/relationships/hyperlink" Target="https://www.amazon.in/gp/aw/d/B0FVXNFQZ7?pd_rd_plhdr=t&amp;hsa_cr_id=0&amp;qid=1792297998&amp;sr=1-1-9fd4e6c6-0f32-411b-9abc-dfd97dd0cadd&amp;i=electronics&amp;aref=rhtQTb0GUU&amp;_encoding=UTF8&amp;ref_=sbx__sbtcd2_asin_0_title&amp;pd_rd_w=novfU&amp;content-id=amzn1.sym.1183c3aa-8812-4b69-" TargetMode="External"/><Relationship Id="rId14" Type="http://schemas.openxmlformats.org/officeDocument/2006/relationships/hyperlink" Target="https://m.media-amazon.com/images/I/61DPbEGIucL._SX522_.jpg" TargetMode="External"/><Relationship Id="rId15" Type="http://schemas.openxmlformats.org/officeDocument/2006/relationships/hyperlink" Target="https://www.flipkart.com/boat-bassheads-220-wired-earphones/p/itm77e99bc4a8b6d?pid=ACCEJZT98SG39ZYD&amp;lid=LSTACCEJZT98SG39ZYDMYBTOB&amp;marketplace=FLIPKART&amp;q=Wired+In-Ear+Earphones+with+Mic&amp;store=0pm%2Ffcn%2F821&amp;srno=s_1_7&amp;otracker=search&amp;otracker1=search&amp;fm=S" TargetMode="External"/><Relationship Id="rId16" Type="http://schemas.openxmlformats.org/officeDocument/2006/relationships/hyperlink" Target="https://rukminim2.flixcart.com/image/1536/1536/xif0q/headphone/t/8/5/bassheads-228-boat-enriched-transparent-original-imafstfzcequfxnt.png?q=90" TargetMode="External"/><Relationship Id="rId17" Type="http://schemas.openxmlformats.org/officeDocument/2006/relationships/hyperlink" Target="https://www.meesho.com/2-pack-black-white-ear-headphones-with-mic-compatible-with-mp3mp4-ipad-ipod-computers-laptops-and-all-35mm-headphone-device/p/ftxyyb" TargetMode="External"/><Relationship Id="rId18" Type="http://schemas.openxmlformats.org/officeDocument/2006/relationships/hyperlink" Target="https://images.meesho.com/images/products/957286451/girjh_512.avif?width=512" TargetMode="External"/><Relationship Id="rId19" Type="http://schemas.openxmlformats.org/officeDocument/2006/relationships/hyperlink" Target="https://www.amazon.in/Amayra-Womens-Cotton-Palazzo-Dupatta/dp/B0GLGKGCB4/ref=sr_1_18?crid=3QY62NME6TLM0&amp;dib=eyJ2IjoiMSJ9.yJdP5UfNTieOB8UkcYQfBAuBzbydVi01Vav2AJ6e0v7MDX86njNm5QxKneZP06Fb5dl1StMduFb_dGfoyenaXzrpUgsQyFnu8gaZMyS_qAm9ougmL7m1tbMdCjC_jAukHYKjGV" TargetMode="External"/><Relationship Id="rId20" Type="http://schemas.openxmlformats.org/officeDocument/2006/relationships/hyperlink" Target="https://m.media-amazon.com/images/I/81stfgnFx4L._SY741_.jpg" TargetMode="External"/><Relationship Id="rId21" Type="http://schemas.openxmlformats.org/officeDocument/2006/relationships/hyperlink" Target="https://www.flipkart.com/tikkar-women-kurta-churidar-dupatta-set/p/itmfe91a0ece4939?pid=ETHHHZUHVVYZQD7Y&amp;lid=LSTETHHHZUHVVYZQD7YF9JOHB&amp;marketplace=FLIPKART&amp;q=Womens+Cotton+Churidar+Set&amp;store=clo&amp;srno=s_1_7&amp;otracker=search&amp;otracker1=search&amp;fm=Search&amp;iid=d5" TargetMode="External"/><Relationship Id="rId22" Type="http://schemas.openxmlformats.org/officeDocument/2006/relationships/hyperlink" Target="https://www.meesho.com/kurti-pant-set-with-dupatta/p/h0gg5w" TargetMode="External"/><Relationship Id="rId23" Type="http://schemas.openxmlformats.org/officeDocument/2006/relationships/hyperlink" Target="https://images.meesho.com/images/products/1028692436/ksf4k_512.avif?width=512" TargetMode="External"/><Relationship Id="rId24" Type="http://schemas.openxmlformats.org/officeDocument/2006/relationships/hyperlink" Target="https://www.amazon.in/SKYCARRY-Elegant-Stylish-Georgette-Birthday/dp/B0FL85SWL4/ref=sr_1_15?crid=QDQLA3587GG5&amp;dib=eyJ2IjoiMSJ9.L5-03VeH6zv5yYfgrwAKWp8I1f_LXtEjnegmdkbfm7OlzYhoPIKOgLEwWoDLK53APtrUMk4eGCg5XBUuGjgPRwugBjrIHiknBLhl4Q3bWyxP_eVNwUAynh0nDljkm-qv" TargetMode="External"/><Relationship Id="rId25" Type="http://schemas.openxmlformats.org/officeDocument/2006/relationships/hyperlink" Target="https://m.media-amazon.com/images/I/61Z7BZNt+vL._SY741_.jpg" TargetMode="External"/><Relationship Id="rId26" Type="http://schemas.openxmlformats.org/officeDocument/2006/relationships/hyperlink" Target="https://www.flipkart.com/smsarful-girls-maxi-full-length-party-dress/p/itmc47624b55007b?pid=KDEHN2XXTX3ZJF48&amp;marketplace=FLIPKART&amp;lid=LSTKDEHN2XXTX3ZJF48QZWKSO&amp;q=Girls+Cotton+Party+Frock&amp;fm=Search&amp;pageUID=1792305360058" TargetMode="External"/><Relationship Id="rId27" Type="http://schemas.openxmlformats.org/officeDocument/2006/relationships/hyperlink" Target="https://rukminim2.flixcart.com/image/1536/1536/xif0q/kids-dress/f/c/r/4-5-years-d-avi-bsi-frok-15d-smsarful-original-imahn2xwwngmffez.jpeg?q=90" TargetMode="External"/><Relationship Id="rId28" Type="http://schemas.openxmlformats.org/officeDocument/2006/relationships/hyperlink" Target="https://www.meesho.com/stylish-embroidered-cotton-frock-dress-with-matching-pouch-for-baby-girls/p/9kabbu" TargetMode="External"/><Relationship Id="rId29" Type="http://schemas.openxmlformats.org/officeDocument/2006/relationships/hyperlink" Target="https://images.meesho.com/images/products/578269146/tfooi_512.avif?width=512" TargetMode="External"/><Relationship Id="rId30" Type="http://schemas.openxmlformats.org/officeDocument/2006/relationships/hyperlink" Target="https://www.amazon.in/MEERA-FAB-Anarkali-Dupatta-Handwork/dp/B0HGG9TSKD/ref=sxin_13_pa_sp_search_thematic_sspa?content-id=amzn1.sym.08a0b5ee-c418-4ba9-9fad-aa49b5c1a91e%3Aamzn1.sym.08a0b5ee-c418-4ba9-9fad-aa49b5c1a91e&amp;crid=BGZZHZSQVH77&amp;cv_ct_cx=Women%27s%" TargetMode="External"/><Relationship Id="rId31" Type="http://schemas.openxmlformats.org/officeDocument/2006/relationships/hyperlink" Target="https://m.media-amazon.com/images/I/814PxLgKhDL._SY741_.jpg" TargetMode="External"/><Relationship Id="rId32" Type="http://schemas.openxmlformats.org/officeDocument/2006/relationships/hyperlink" Target="https://www.flipkart.com/rutabo-embroidered-anarkali-kurta-bottom-dupatta-set/p/itmef586b01d6274?pid=SWDHZBTGZSWZVQVF&amp;marketplace=FLIPKART&amp;lid=LSTSWDHZBTGZSWZVQVF4PTQSO&amp;q=Womens+Anarkali+Kurti+Set&amp;fm=Search&amp;pageUID=1792305860299" TargetMode="External"/><Relationship Id="rId33" Type="http://schemas.openxmlformats.org/officeDocument/2006/relationships/hyperlink" Target="https://rukminim2.flixcart.com/image/1536/1536/xif0q/salwar-kurta-dupatta/9/h/b/m-anarkali-2-rutabo-original-imahzbj47fzghnpm.jpeg?q=90" TargetMode="External"/><Relationship Id="rId34" Type="http://schemas.openxmlformats.org/officeDocument/2006/relationships/hyperlink" Target="https://images.meesho.com/images/products/1107503856/n8y98_512.avif?width=512" TargetMode="External"/><Relationship Id="rId35" Type="http://schemas.openxmlformats.org/officeDocument/2006/relationships/hyperlink" Target="https://m.media-amazon.com/images/I/81wES3O7GgL._SY741_.jpg" TargetMode="External"/><Relationship Id="rId36" Type="http://schemas.openxmlformats.org/officeDocument/2006/relationships/hyperlink" Target="https://rukminim2.flixcart.com/image/1536/1536/xif0q/kurta/a/d/w/xxl-b101-shri-krishna-textile-original-imahkut76zduyhbt.jpeg?q=90" TargetMode="External"/><Relationship Id="rId37" Type="http://schemas.openxmlformats.org/officeDocument/2006/relationships/hyperlink" Target="https://images.meesho.com/images/products/735231272/sxrxi_512.avif?width=512" TargetMode="External"/><Relationship Id="rId38" Type="http://schemas.openxmlformats.org/officeDocument/2006/relationships/hyperlink" Target="https://www.amazon.in/adidas-Geometric-Regular-T-Shirt-JE6911_Black/dp/B0DD3YXQS8/ref=sr_1_3?crid=22D4RO84NE0MK&amp;dib=eyJ2IjoiMSJ9.LVllznkMUnj4QWU53LZyj9LKVC8-1UKGVHg7dpfqVAQy9Y6AvKMaFMvxPipa-ICzQ0DrrdMvXyBFYSVfAeaGSfzhVhyov9mlU1FpRKgbEExJBKT6EKI5L1F7gX8hMk" TargetMode="External"/><Relationship Id="rId39" Type="http://schemas.openxmlformats.org/officeDocument/2006/relationships/hyperlink" Target="https://m.media-amazon.com/images/I/61HLqrBndFL._SX569_.jpg" TargetMode="External"/><Relationship Id="rId40" Type="http://schemas.openxmlformats.org/officeDocument/2006/relationships/hyperlink" Target="https://www.flipkart.com/adidas-solid-printed-men-round-neck-brown-t-shirt/p/itm518255e88abfa?pid=TSHHMDY8TYYUMZTH&amp;lid=LSTTSHHMDY8TYYUMZTH4FLUHL&amp;marketplace=FLIPKART&amp;q=adidas+men+tshirt&amp;store=clo%2Fash%2Fank%2Fedy&amp;srno=s_1_5&amp;otracker=AS_Query_OrganicAutoS" TargetMode="External"/><Relationship Id="rId41" Type="http://schemas.openxmlformats.org/officeDocument/2006/relationships/hyperlink" Target="https://rukminim2.flixcart.com/image/1536/1536/xif0q/t-shirt/a/f/v/m-ku7344-adidas-original-imahr8rjtjvhyn68.jpeg?q=90" TargetMode="External"/><Relationship Id="rId42" Type="http://schemas.openxmlformats.org/officeDocument/2006/relationships/hyperlink" Target="https://www.myntra.com/tshirts/adidas/adidas-men-tr-es-comfort-aeroready-regular-fit-t-shirt/21496846/buy" TargetMode="External"/><Relationship Id="rId43" Type="http://schemas.openxmlformats.org/officeDocument/2006/relationships/hyperlink" Target="https://m.media-amazon.com/images/I/61lSvGVT2PL._SY625_.jpg" TargetMode="External"/><Relationship Id="rId44" Type="http://schemas.openxmlformats.org/officeDocument/2006/relationships/hyperlink" Target="https://rukminim2.flixcart.com/image/1536/1536/xif0q/shoe/a/v/u/8-rubicon-8-jqr-wht-original-imahgj6fzetbxuks.jpeg?q=90" TargetMode="External"/><Relationship Id="rId45" Type="http://schemas.openxmlformats.org/officeDocument/2006/relationships/hyperlink" Target="https://images.meesho.com/images/products/364843606/vwadc_512.avif?width=512" TargetMode="External"/><Relationship Id="rId46" Type="http://schemas.openxmlformats.org/officeDocument/2006/relationships/hyperlink" Target="https://www.amazon.in/Zoyi-Sandals-Slippers-Lightweight-Footwear/dp/B0GRB7DV3R?th=1&amp;psc=1" TargetMode="External"/><Relationship Id="rId47" Type="http://schemas.openxmlformats.org/officeDocument/2006/relationships/hyperlink" Target="https://www.amazon.in/Zoyi-Sandals-Slippers-Lightweight-Footwear/dp/B0GRB2HVRK" TargetMode="External"/><Relationship Id="rId48" Type="http://schemas.openxmlformats.org/officeDocument/2006/relationships/hyperlink" Target="https://www.flipkart.com/s-collection-women-casual/p/itm3f3b553f5003d?pid=SNDHPQF5JNTCVJ9Q&amp;lid=LSTSNDHPQF5JNTCVJ9QONGTZA&amp;marketplace=FLIPKART&amp;q=bow+women+sandals+flat&amp;store=osp%2Fiko%2F9d5&amp;srno=s_1_22&amp;otracker=AS_Query_OnlineSuffix_8_16_na_na_na&amp;otracker1" TargetMode="External"/><Relationship Id="rId49" Type="http://schemas.openxmlformats.org/officeDocument/2006/relationships/hyperlink" Target="https://rukminim2.flixcart.com/image/1536/1536/xif0q/sandal/b/8/b/5-dc-bow-slipper-5-0-hiwa-cream-original-imahqvhgqzzqs7hh.jpeg?q=90" TargetMode="External"/><Relationship Id="rId50" Type="http://schemas.openxmlformats.org/officeDocument/2006/relationships/hyperlink" Target="https://www.meesho.com/gorgeous-women-flats/p/7tb2yg" TargetMode="External"/><Relationship Id="rId51" Type="http://schemas.openxmlformats.org/officeDocument/2006/relationships/hyperlink" Target="https://images.meesho.com/images/products/985650192/qmuaa_512.avif?width=512" TargetMode="External"/><Relationship Id="rId52" Type="http://schemas.openxmlformats.org/officeDocument/2006/relationships/hyperlink" Target="https://www.amazon.in/Titan-Quartz-Analog-Metal-Women-NS2638SM01/dp/B08DKW7LYM/ref=sr_1_1_sspa?crid=19YDCU0MK6U6U&amp;dib=eyJ2IjoiMSJ9.aOm2t8f3QeRgLqcPLwjyWNHZomaz8uMRXhKuPl2zrP_uI5s5_g8BL1Pa-KQH8Mhdy_ocphIkcl5bS0Pc7qHbAnZplPzV7TTdsGDXx5oOAHw6QrMTIz9vcBF5K8sp" TargetMode="External"/><Relationship Id="rId53" Type="http://schemas.openxmlformats.org/officeDocument/2006/relationships/hyperlink" Target="https://m.media-amazon.com/images/I/61Tk0WG-t9L._SX522_.jpg" TargetMode="External"/><Relationship Id="rId54" Type="http://schemas.openxmlformats.org/officeDocument/2006/relationships/hyperlink" Target="https://www.flipkart.com/titan-karishma-date-blue-dial-silver-metalstrap-analog-watch-women/p/itm67773c106c0c9?pid=WATFTXM7C5ZNQAVH&amp;lid=LSTWATFTXM7C5ZNQAVH2NYNOH&amp;marketplace=FLIPKART&amp;q=silver+analog+wrist+watch+for+women+blue+titian&amp;store=r18%2Ff13&amp;srno=s" TargetMode="External"/><Relationship Id="rId55" Type="http://schemas.openxmlformats.org/officeDocument/2006/relationships/hyperlink" Target="https://rukminim2.flixcart.com/image/1536/1536/xif0q/watch/r/j/5/-watermarked-original-imahz8yykp7xwgn6.jpeg?q=90" TargetMode="External"/><Relationship Id="rId56" Type="http://schemas.openxmlformats.org/officeDocument/2006/relationships/hyperlink" Target="https://www.titan.co.in/dw/image/v2/BKDD_PRD/on/demandware.static/-/Sites-titan-master-catalog/default/dw77d27bf3/images/Titan/Catalog/2638SM01_3.jpg?sw=600&amp;sh=600" TargetMode="External"/><Relationship Id="rId57" Type="http://schemas.openxmlformats.org/officeDocument/2006/relationships/hyperlink" Target="https://www.amazon.in/Fastrack-Display-Calling-Vitality-Hydration/dp/B0HDCYV7KF/ref=sr_1_1_sspa?crid=1KAJMC0QNBX9M&amp;dib=eyJ2IjoiMSJ9.tew9Rgd_D2W-BrH8HdyVNmohkuj_hHpjTStCwZZqIb1bd9FL1km0EQ8LTWogsYz7xJEMUOEcKPo_qZMgBP1EtQqRjxi5ZPr7Ez3FCT2hrUAzZRc7pjIYd7nFdQz" TargetMode="External"/><Relationship Id="rId58" Type="http://schemas.openxmlformats.org/officeDocument/2006/relationships/hyperlink" Target="https://m.media-amazon.com/images/I/71QVbH-cX1L._SL1500_.jpg" TargetMode="External"/><Relationship Id="rId59" Type="http://schemas.openxmlformats.org/officeDocument/2006/relationships/hyperlink" Target="https://www.flipkart.com/fastrack-xtreme-s-smartwatch/p/itm6e375611fec48?pid=SMWHQ4NDXQMEJWRK&amp;lid=LSTSMWHQ4NDXQMEJWRKQBXBM9&amp;marketplace=FLIPKART&amp;cmpid=content_smartwatch_24004169905_g_8965229628_gmc_pla&amp;tgi=sem,1,G,11214002,g,search,,815466423545,,,,c,,,," TargetMode="External"/><Relationship Id="rId60" Type="http://schemas.openxmlformats.org/officeDocument/2006/relationships/hyperlink" Target="https://rukminim2.flixcart.com/image/1536/1536/xif0q/screen-guard/edge-to-edge-screen-guard/5/m/s/swp5-091-coatify-original-imahs3mmhvpw7crd.jpeg?q=90" TargetMode="External"/><Relationship Id="rId61" Type="http://schemas.openxmlformats.org/officeDocument/2006/relationships/hyperlink" Target="https://www.fastrack.in/dw/image/v2/BKDD_PRD/on/demandware.static/-/Sites-titan-master-catalog/default/dw6f77dc2e/images/Fastrack/Catalog/38226PP03K_1.jpg?sw=600&amp;sh=600" TargetMode="External"/><Relationship Id="rId62" Type="http://schemas.openxmlformats.org/officeDocument/2006/relationships/hyperlink" Target="https://www.amazon.in/gp/aw/d/B0BSXM4DKJ?pd_rd_plhdr=t&amp;hsa_cr_id=0&amp;qid=1792303116&amp;sr=1-2-9fd4e6c6-0f32-411b-9abc-dfd97dd0cadd&amp;i=aps&amp;aref=vdoC3puOVk&amp;_encoding=UTF8&amp;ref_=sbx__sbtcd2_asin_1_title&amp;pd_rd_w=7bOki&amp;content-id=amzn1.sym.1183c3aa-8812-4b69-b5a0-47d" TargetMode="External"/><Relationship Id="rId63" Type="http://schemas.openxmlformats.org/officeDocument/2006/relationships/hyperlink" Target="https://m.media-amazon.com/images/I/61EbXrlVcRL._SY625_.jpg" TargetMode="External"/><Relationship Id="rId64" Type="http://schemas.openxmlformats.org/officeDocument/2006/relationships/hyperlink" Target="https://www.flipkart.com/mochi-grey-sling-bag-66-7549/p/itm665e56c660f95?pid=SLBGBVY9KREKSPZG&amp;lid=LSTSLBGBVY9KREKSPZGCTGDZE&amp;marketplace=FLIPKART&amp;q=Womens+Sling+Bag&amp;store=reh%2Fihu%2Fmf2&amp;srno=s_1_6&amp;otracker=search&amp;otracker1=search&amp;fm=organic&amp;iid=en_uUUHjhK" TargetMode="External"/><Relationship Id="rId65" Type="http://schemas.openxmlformats.org/officeDocument/2006/relationships/hyperlink" Target="https://rukminim2.flixcart.com/image/1536/1536/xif0q/sling-bag/y/h/o/-watermarked-original-imah2c477hfhdjrw.jpeg?q=90" TargetMode="External"/><Relationship Id="rId66" Type="http://schemas.openxmlformats.org/officeDocument/2006/relationships/hyperlink" Target="https://www.meesho.com/woman-and-girl-selling-bags-party-wear-sling-bag-for-mekup-barthday-party/p/7ldic0" TargetMode="External"/><Relationship Id="rId67" Type="http://schemas.openxmlformats.org/officeDocument/2006/relationships/hyperlink" Target="https://images.meesho.com/images/products/459165456/oeirv_512.avif?width=512" TargetMode="External"/><Relationship Id="rId68" Type="http://schemas.openxmlformats.org/officeDocument/2006/relationships/hyperlink" Target="https://m.media-amazon.com/images/I/51nlfkWS5hL._SY300_SX300_QL70_FMwebp_.jpg" TargetMode="External"/><Relationship Id="rId69" Type="http://schemas.openxmlformats.org/officeDocument/2006/relationships/hyperlink" Target="https://rukminim2.flixcart.com/image/1536/1536/xif0q/showpiece-figurine/p/y/e/10-17-78-buddha-home-deocr-s-curious-lifestyle-25-4-original-imahkrcbjgktfmvb.jpeg?q=90" TargetMode="External"/><Relationship Id="rId70" Type="http://schemas.openxmlformats.org/officeDocument/2006/relationships/hyperlink" Target="https://images.meesho.com/images/products/87492690/iug4h_512.avif?width=512" TargetMode="External"/><Relationship Id="rId71" Type="http://schemas.openxmlformats.org/officeDocument/2006/relationships/hyperlink" Target="https://www.amazon.in/Lifelong-Trike-Cycle-Kids-Years/dp/B0CQRCSSZ6/ref=sr_1_7?crid=2CRGLD9198AA9&amp;dib=eyJ2IjoiMSJ9.bfvxkHtzwRRSE_Vcl6I-gPFsNixFzBHGilEjllq14Rbe45jM5m2NtsULY2xjgmc4pcKqxbXhFMy-Icg0FT4LswzIcHKHgLe_O3-n2wjOwIfjkjbGoShRSAfR8oiwyd-s0L4FlBQjPx8s" TargetMode="External"/><Relationship Id="rId72" Type="http://schemas.openxmlformats.org/officeDocument/2006/relationships/hyperlink" Target="https://m.media-amazon.com/images/I/71mYS41qn0L._SL1500_.jpg" TargetMode="External"/><Relationship Id="rId73" Type="http://schemas.openxmlformats.org/officeDocument/2006/relationships/hyperlink" Target="https://www.flipkart.com/kidsmate-junior-2-0-kids-tricycle-parental-control-storage-basket-10-t-inch-road-cycle/p/itmf98ae6dd13269?pid=CCEHGSBE4PJHKVWJ&amp;marketplace=FLIPKART&amp;lid=LSTCCEHGSBE4PJHKVWJC767MR&amp;q=kids+cycle&amp;fm=Search&amp;pageUID=1792304974313" TargetMode="External"/><Relationship Id="rId74" Type="http://schemas.openxmlformats.org/officeDocument/2006/relationships/hyperlink" Target="https://rukminim2.flixcart.com/image/1536/1536/xif0q/shopsy-cycle/3/t/y/junior-2-0-kids-tricycle-with-parental-control-storage-basket-10-original-imahj9y6jpctsapv.jpeg?q=90" TargetMode="External"/><Relationship Id="rId75" Type="http://schemas.openxmlformats.org/officeDocument/2006/relationships/hyperlink" Target="https://www.meesho.com/kids-tricycle/p/a6523x" TargetMode="External"/><Relationship Id="rId76" Type="http://schemas.openxmlformats.org/officeDocument/2006/relationships/hyperlink" Target="https://images.meesho.com/images/products/615064591/jqyed_512.avif?width=512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9" min="8" style="0" width="10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/>
      <c r="D4" s="4"/>
      <c r="E4" s="4"/>
    </row>
    <row r="5" customFormat="false" ht="15" hidden="false" customHeight="false" outlineLevel="0" collapsed="false">
      <c r="A5" s="5" t="str">
        <f aca="false">"Weights in use: price "&amp;TEXT(Weights!$B$5,"0%")&amp;", rating "&amp;TEXT(Weights!$B$6,"0%")&amp;", warranty "&amp;TEXT(Weights!$B$7,"0%")&amp;" (change them on the Weights sheet)"</f>
        <v>Weights in use: price 50%, rating 30%, warranty 20% (change them on the Weights sheet)</v>
      </c>
    </row>
    <row r="7" customFormat="false" ht="31.5" hidden="false" customHeight="true" outlineLevel="0" collapsed="false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6" t="s">
        <v>13</v>
      </c>
      <c r="K7" s="6" t="s">
        <v>14</v>
      </c>
      <c r="L7" s="6" t="s">
        <v>15</v>
      </c>
      <c r="M7" s="6" t="s">
        <v>16</v>
      </c>
    </row>
    <row r="8" customFormat="false" ht="15" hidden="false" customHeight="false" outlineLevel="0" collapsed="false">
      <c r="A8" s="7" t="s">
        <v>17</v>
      </c>
      <c r="B8" s="8" t="n">
        <f aca="false">IFERROR(INDEX(Products!$E$5:$E$60,MATCH($B$4&amp;"|"&amp;$A8,Products!$W$5:$W$60,0)),"Not listed")</f>
        <v>379</v>
      </c>
      <c r="C8" s="9" t="str">
        <f aca="false">IFERROR(INDEX(Products!$F$5:$F$60,MATCH($B$4&amp;"|"&amp;$A8,Products!$W$5:$W$60,0)),"Not listed")</f>
        <v>1 Year</v>
      </c>
      <c r="D8" s="9" t="n">
        <f aca="false">IFERROR(INDEX(Products!$M$5:$M$60,MATCH($B$4&amp;"|"&amp;$A8,Products!$W$5:$W$60,0)),"Not listed")</f>
        <v>12</v>
      </c>
      <c r="E8" s="10" t="n">
        <f aca="false">IFERROR(INDEX(Products!$G$5:$G$60,MATCH($B$4&amp;"|"&amp;$A8,Products!$W$5:$W$60,0)),"Not listed")</f>
        <v>3.7</v>
      </c>
      <c r="F8" s="9" t="str">
        <f aca="false">IFERROR(INDEX(Products!$H$5:$H$60,MATCH($B$4&amp;"|"&amp;$A8,Products!$W$5:$W$60,0)),"Not listed")</f>
        <v>Yes</v>
      </c>
      <c r="G8" s="11" t="n">
        <f aca="false">IFERROR(INDEX(Products!$I$5:$I$60,MATCH($B$4&amp;"|"&amp;$A8,Products!$W$5:$W$60,0)),"Not listed")</f>
        <v>46310</v>
      </c>
      <c r="H8" s="12" t="n">
        <f aca="false">IFERROR(INDEX(Products!$N$5:$N$60,MATCH($B$4&amp;"|"&amp;$A8,Products!$W$5:$W$60,0)),"Not listed")</f>
        <v>0.768094534711965</v>
      </c>
      <c r="I8" s="12" t="n">
        <f aca="false">IFERROR(INDEX(Products!$O$5:$O$60,MATCH($B$4&amp;"|"&amp;$A8,Products!$W$5:$W$60,0)),"Not listed")</f>
        <v>0.74</v>
      </c>
      <c r="J8" s="12" t="n">
        <f aca="false">IFERROR(INDEX(Products!$P$5:$P$60,MATCH($B$4&amp;"|"&amp;$A8,Products!$W$5:$W$60,0)),"Not listed")</f>
        <v>1</v>
      </c>
      <c r="K8" s="12" t="n">
        <f aca="false">IFERROR(INDEX(Products!$R$5:$R$60,MATCH($B$4&amp;"|"&amp;$A8,Products!$W$5:$W$60,0)),"Not listed")</f>
        <v>80.6</v>
      </c>
      <c r="L8" s="9" t="n">
        <f aca="false">IFERROR(INDEX(Products!$S$5:$S$60,MATCH($B$4&amp;"|"&amp;$A8,Products!$W$5:$W$60,0)),"Not listed")</f>
        <v>1</v>
      </c>
      <c r="M8" s="9" t="n">
        <f aca="false">IFERROR(INDEX(Products!$T$5:$T$60,MATCH($B$4&amp;"|"&amp;$A8,Products!$W$5:$W$60,0)),"Not listed")</f>
        <v>2</v>
      </c>
    </row>
    <row r="9" customFormat="false" ht="15" hidden="false" customHeight="false" outlineLevel="0" collapsed="false">
      <c r="A9" s="7" t="s">
        <v>18</v>
      </c>
      <c r="B9" s="8" t="n">
        <f aca="false">IFERROR(INDEX(Products!$E$5:$E$60,MATCH($B$4&amp;"|"&amp;$A9,Products!$W$5:$W$60,0)),"Not listed")</f>
        <v>899</v>
      </c>
      <c r="C9" s="9" t="str">
        <f aca="false">IFERROR(INDEX(Products!$F$5:$F$60,MATCH($B$4&amp;"|"&amp;$A9,Products!$W$5:$W$60,0)),"Not listed")</f>
        <v>1 Year</v>
      </c>
      <c r="D9" s="9" t="n">
        <f aca="false">IFERROR(INDEX(Products!$M$5:$M$60,MATCH($B$4&amp;"|"&amp;$A9,Products!$W$5:$W$60,0)),"Not listed")</f>
        <v>12</v>
      </c>
      <c r="E9" s="10" t="n">
        <f aca="false">IFERROR(INDEX(Products!$G$5:$G$60,MATCH($B$4&amp;"|"&amp;$A9,Products!$W$5:$W$60,0)),"Not listed")</f>
        <v>4.2</v>
      </c>
      <c r="F9" s="9" t="str">
        <f aca="false">IFERROR(INDEX(Products!$H$5:$H$60,MATCH($B$4&amp;"|"&amp;$A9,Products!$W$5:$W$60,0)),"Not listed")</f>
        <v>Yes</v>
      </c>
      <c r="G9" s="11" t="n">
        <f aca="false">IFERROR(INDEX(Products!$I$5:$I$60,MATCH($B$4&amp;"|"&amp;$A9,Products!$W$5:$W$60,0)),"Not listed")</f>
        <v>46310</v>
      </c>
      <c r="H9" s="12" t="n">
        <f aca="false">IFERROR(INDEX(Products!$N$5:$N$60,MATCH($B$4&amp;"|"&amp;$A9,Products!$W$5:$W$60,0)),"Not listed")</f>
        <v>0</v>
      </c>
      <c r="I9" s="12" t="n">
        <f aca="false">IFERROR(INDEX(Products!$O$5:$O$60,MATCH($B$4&amp;"|"&amp;$A9,Products!$W$5:$W$60,0)),"Not listed")</f>
        <v>0.84</v>
      </c>
      <c r="J9" s="12" t="n">
        <f aca="false">IFERROR(INDEX(Products!$P$5:$P$60,MATCH($B$4&amp;"|"&amp;$A9,Products!$W$5:$W$60,0)),"Not listed")</f>
        <v>1</v>
      </c>
      <c r="K9" s="12" t="n">
        <f aca="false">IFERROR(INDEX(Products!$R$5:$R$60,MATCH($B$4&amp;"|"&amp;$A9,Products!$W$5:$W$60,0)),"Not listed")</f>
        <v>45.2</v>
      </c>
      <c r="L9" s="9" t="n">
        <f aca="false">IFERROR(INDEX(Products!$S$5:$S$60,MATCH($B$4&amp;"|"&amp;$A9,Products!$W$5:$W$60,0)),"Not listed")</f>
        <v>3</v>
      </c>
      <c r="M9" s="9" t="n">
        <f aca="false">IFERROR(INDEX(Products!$T$5:$T$60,MATCH($B$4&amp;"|"&amp;$A9,Products!$W$5:$W$60,0)),"Not listed")</f>
        <v>3</v>
      </c>
    </row>
    <row r="10" customFormat="false" ht="15" hidden="false" customHeight="false" outlineLevel="0" collapsed="false">
      <c r="A10" s="7" t="s">
        <v>19</v>
      </c>
      <c r="B10" s="8" t="n">
        <f aca="false">IFERROR(INDEX(Products!$E$5:$E$60,MATCH($B$4&amp;"|"&amp;$A10,Products!$W$5:$W$60,0)),"Not listed")</f>
        <v>222</v>
      </c>
      <c r="C10" s="9" t="str">
        <f aca="false">IFERROR(INDEX(Products!$F$5:$F$60,MATCH($B$4&amp;"|"&amp;$A10,Products!$W$5:$W$60,0)),"Not listed")</f>
        <v>No Warranty</v>
      </c>
      <c r="D10" s="9" t="n">
        <f aca="false">IFERROR(INDEX(Products!$M$5:$M$60,MATCH($B$4&amp;"|"&amp;$A10,Products!$W$5:$W$60,0)),"Not listed")</f>
        <v>0</v>
      </c>
      <c r="E10" s="10" t="n">
        <f aca="false">IFERROR(INDEX(Products!$G$5:$G$60,MATCH($B$4&amp;"|"&amp;$A10,Products!$W$5:$W$60,0)),"Not listed")</f>
        <v>3.9</v>
      </c>
      <c r="F10" s="9" t="str">
        <f aca="false">IFERROR(INDEX(Products!$H$5:$H$60,MATCH($B$4&amp;"|"&amp;$A10,Products!$W$5:$W$60,0)),"Not listed")</f>
        <v>Yes</v>
      </c>
      <c r="G10" s="11" t="n">
        <f aca="false">IFERROR(INDEX(Products!$I$5:$I$60,MATCH($B$4&amp;"|"&amp;$A10,Products!$W$5:$W$60,0)),"Not listed")</f>
        <v>46310</v>
      </c>
      <c r="H10" s="12" t="n">
        <f aca="false">IFERROR(INDEX(Products!$N$5:$N$60,MATCH($B$4&amp;"|"&amp;$A10,Products!$W$5:$W$60,0)),"Not listed")</f>
        <v>1</v>
      </c>
      <c r="I10" s="12" t="n">
        <f aca="false">IFERROR(INDEX(Products!$O$5:$O$60,MATCH($B$4&amp;"|"&amp;$A10,Products!$W$5:$W$60,0)),"Not listed")</f>
        <v>0.78</v>
      </c>
      <c r="J10" s="12" t="n">
        <f aca="false">IFERROR(INDEX(Products!$P$5:$P$60,MATCH($B$4&amp;"|"&amp;$A10,Products!$W$5:$W$60,0)),"Not listed")</f>
        <v>0</v>
      </c>
      <c r="K10" s="12" t="n">
        <f aca="false">IFERROR(INDEX(Products!$R$5:$R$60,MATCH($B$4&amp;"|"&amp;$A10,Products!$W$5:$W$60,0)),"Not listed")</f>
        <v>73.4</v>
      </c>
      <c r="L10" s="9" t="n">
        <f aca="false">IFERROR(INDEX(Products!$S$5:$S$60,MATCH($B$4&amp;"|"&amp;$A10,Products!$W$5:$W$60,0)),"Not listed")</f>
        <v>2</v>
      </c>
      <c r="M10" s="9" t="n">
        <f aca="false">IFERROR(INDEX(Products!$T$5:$T$60,MATCH($B$4&amp;"|"&amp;$A10,Products!$W$5:$W$60,0)),"Not listed")</f>
        <v>1</v>
      </c>
    </row>
    <row r="12" customFormat="false" ht="15" hidden="false" customHeight="false" outlineLevel="0" collapsed="false">
      <c r="A12" s="3" t="s">
        <v>20</v>
      </c>
      <c r="B12" s="3" t="str">
        <f aca="false">IFERROR(INDEX($A$8:$A$10,MATCH(1,$L$8:$L$10,0)),"No in-stock listing")</f>
        <v>Amazon</v>
      </c>
    </row>
    <row r="13" customFormat="false" ht="15" hidden="false" customHeight="false" outlineLevel="0" collapsed="false">
      <c r="A13" s="13" t="s">
        <v>21</v>
      </c>
      <c r="B13" s="14" t="n">
        <f aca="false">IFERROR(INDEX($B$8:$B$10,MATCH(1,$L$8:$L$10,0)),"")</f>
        <v>379</v>
      </c>
    </row>
    <row r="14" customFormat="false" ht="15" hidden="false" customHeight="false" outlineLevel="0" collapsed="false">
      <c r="A14" s="13" t="s">
        <v>22</v>
      </c>
      <c r="B14" s="15" t="str">
        <f aca="false">IFERROR(INDEX($A$8:$A$10,MATCH(1,$M$8:$M$10,0)),"")</f>
        <v>Meesho</v>
      </c>
    </row>
    <row r="15" customFormat="false" ht="15" hidden="false" customHeight="false" outlineLevel="0" collapsed="false">
      <c r="A15" s="13" t="s">
        <v>23</v>
      </c>
      <c r="B15" s="14" t="n">
        <f aca="false">IFERROR(INDEX($B$8:$B$10,MATCH(1,$M$8:$M$10,0)),"")</f>
        <v>222</v>
      </c>
    </row>
    <row r="16" customFormat="false" ht="31.5" hidden="false" customHeight="true" outlineLevel="0" collapsed="false">
      <c r="A16" s="13" t="s">
        <v>24</v>
      </c>
      <c r="B16" s="16" t="str">
        <f aca="false">IF($B$12="No in-stock listing","No marketplace has this product in stock.",IF(OR($B$12=$B$14,$B$13=$B$15),$B$12&amp;" is the best value: lowest in-stock price"&amp;IF(COUNT($B$8:$B$10)&gt;1," and the best overall score on price, warranty and rating.","."),$B$12&amp;" is the best value. "&amp;$B$14&amp;" is cheaper by ₹"&amp;TEXT($B$13-$B$15,"#,##0")&amp;", but scores lower overall on price, warranty and rating."))</f>
        <v>Amazon is the best value. Meesho is cheaper by ₹157, but scores lower overall on price, warranty and rating.</v>
      </c>
      <c r="C16" s="16"/>
      <c r="D16" s="16"/>
      <c r="E16" s="16"/>
      <c r="F16" s="16"/>
      <c r="G16" s="16"/>
      <c r="H16" s="16"/>
      <c r="I16" s="16"/>
      <c r="J16" s="16"/>
    </row>
    <row r="18" customFormat="false" ht="15" hidden="false" customHeight="false" outlineLevel="0" collapsed="false">
      <c r="A18" s="5" t="s">
        <v>25</v>
      </c>
    </row>
  </sheetData>
  <mergeCells count="2">
    <mergeCell ref="B4:E4"/>
    <mergeCell ref="B16:J16"/>
  </mergeCells>
  <conditionalFormatting sqref="A8:M10">
    <cfRule type="expression" priority="2" aboveAverage="0" equalAverage="0" bottom="0" percent="0" rank="0" text="" dxfId="0">
      <formula>$L8=1</formula>
    </cfRule>
  </conditionalFormatting>
  <dataValidations count="1">
    <dataValidation allowBlank="false" error="Pick a product from the list." errorStyle="stop" errorTitle="Product" operator="between" showDropDown="false" showErrorMessage="true" showInputMessage="false" sqref="B4" type="list">
      <formula1>Overview!$B$5:$B$19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0" min="10" style="0" width="70"/>
    <col collapsed="false" customWidth="true" hidden="false" outlineLevel="0" max="12" min="11" style="0" width="16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31.5" hidden="false" customHeight="true" outlineLevel="0" collapsed="false">
      <c r="A4" s="6" t="s">
        <v>28</v>
      </c>
      <c r="B4" s="6" t="s">
        <v>29</v>
      </c>
      <c r="C4" s="6" t="s">
        <v>30</v>
      </c>
      <c r="D4" s="6" t="s">
        <v>31</v>
      </c>
      <c r="E4" s="6" t="s">
        <v>32</v>
      </c>
      <c r="F4" s="6" t="s">
        <v>14</v>
      </c>
      <c r="G4" s="6" t="s">
        <v>33</v>
      </c>
      <c r="H4" s="6" t="s">
        <v>34</v>
      </c>
      <c r="I4" s="6" t="s">
        <v>35</v>
      </c>
      <c r="J4" s="6" t="s">
        <v>36</v>
      </c>
      <c r="K4" s="6" t="s">
        <v>37</v>
      </c>
      <c r="L4" s="6" t="s">
        <v>38</v>
      </c>
    </row>
    <row r="5" customFormat="false" ht="23.85" hidden="false" customHeight="false" outlineLevel="0" collapsed="false">
      <c r="A5" s="17" t="n">
        <v>1</v>
      </c>
      <c r="B5" s="18" t="str">
        <f aca="false">IF($A5="","",INDEX(Products!$B$5:$B$60,MATCH($A5,Products!$A$5:$A$60,0)))</f>
        <v>Wireless Bluetooth Neckband Earphones</v>
      </c>
      <c r="C5" s="18" t="str">
        <f aca="false">IF($A5="","",INDEX(Products!$C$5:$C$60,MATCH($A5,Products!$A$5:$A$60,0)))</f>
        <v>Audio</v>
      </c>
      <c r="D5" s="18" t="str">
        <f aca="false">IF($A5="","",IFERROR(INDEX(Products!$D$5:$D$60,MATCH($A5&amp;"|1",Products!$U$5:$U$60,0)),"No in-stock listing"))</f>
        <v>Amazon</v>
      </c>
      <c r="E5" s="19" t="n">
        <f aca="false">IF(OR($A5="",$D5="No in-stock listing"),"",INDEX(Products!$E$5:$E$60,MATCH($A5&amp;"|1",Products!$U$5:$U$60,0)))</f>
        <v>379</v>
      </c>
      <c r="F5" s="20" t="n">
        <f aca="false">IF(OR($A5="",$D5="No in-stock listing"),"",INDEX(Products!$R$5:$R$60,MATCH($A5&amp;"|1",Products!$U$5:$U$60,0)))</f>
        <v>80.6</v>
      </c>
      <c r="G5" s="18" t="str">
        <f aca="false">IF(OR($A5="",$D5="No in-stock listing"),"",INDEX(Products!$D$5:$D$60,MATCH($A5&amp;"|1",Products!$V$5:$V$60,0)))</f>
        <v>Meesho</v>
      </c>
      <c r="H5" s="19" t="n">
        <f aca="false">IF(OR($A5="",$D5="No in-stock listing"),"",INDEX(Products!$E$5:$E$60,MATCH($A5&amp;"|1",Products!$V$5:$V$60,0)))</f>
        <v>222</v>
      </c>
      <c r="I5" s="19" t="n">
        <f aca="false">IF($E5="","",$E5-$H5)</f>
        <v>157</v>
      </c>
      <c r="J5" s="21" t="str">
        <f aca="false">IF($A5="","",IF($D5="No in-stock listing","No in-stock listing for this product.",IF(OR($D5=$G5,$I5=0),$D5&amp;": lowest in-stock price and best overall value.",$D5&amp;" is the best value. "&amp;$G5&amp;" is cheaper by ₹"&amp;TEXT($I5,"#,##0")&amp;" but scores lower overall across the weighted factors.")))</f>
        <v>Amazon is the best value. Meesho is cheaper by ₹157 but scores lower overall across the weighted factors.</v>
      </c>
      <c r="K5" s="18" t="n">
        <f aca="false">IF($A5="","",COUNTIF($C$5:$C$19,$C5)-1)</f>
        <v>2</v>
      </c>
      <c r="L5" s="22" t="str">
        <f aca="false">IF(OR($A5="",$E5=""),"",$C5&amp;"|"&amp;$E5)</f>
        <v>Audio|379</v>
      </c>
    </row>
    <row r="6" customFormat="false" ht="15" hidden="false" customHeight="false" outlineLevel="0" collapsed="false">
      <c r="A6" s="17" t="n">
        <v>2</v>
      </c>
      <c r="B6" s="18" t="str">
        <f aca="false">IF($A6="","",INDEX(Products!$B$5:$B$60,MATCH($A6,Products!$A$5:$A$60,0)))</f>
        <v>True Wireless Earbuds with Charging Case</v>
      </c>
      <c r="C6" s="18" t="str">
        <f aca="false">IF($A6="","",INDEX(Products!$C$5:$C$60,MATCH($A6,Products!$A$5:$A$60,0)))</f>
        <v>Audio</v>
      </c>
      <c r="D6" s="18" t="str">
        <f aca="false">IF($A6="","",IFERROR(INDEX(Products!$D$5:$D$60,MATCH($A6&amp;"|1",Products!$U$5:$U$60,0)),"No in-stock listing"))</f>
        <v>Meesho</v>
      </c>
      <c r="E6" s="19" t="n">
        <f aca="false">IF(OR($A6="",$D6="No in-stock listing"),"",INDEX(Products!$E$5:$E$60,MATCH($A6&amp;"|1",Products!$U$5:$U$60,0)))</f>
        <v>581</v>
      </c>
      <c r="F6" s="20" t="n">
        <f aca="false">IF(OR($A6="",$D6="No in-stock listing"),"",INDEX(Products!$R$5:$R$60,MATCH($A6&amp;"|1",Products!$U$5:$U$60,0)))</f>
        <v>74.6</v>
      </c>
      <c r="G6" s="18" t="str">
        <f aca="false">IF(OR($A6="",$D6="No in-stock listing"),"",INDEX(Products!$D$5:$D$60,MATCH($A6&amp;"|1",Products!$V$5:$V$60,0)))</f>
        <v>Meesho</v>
      </c>
      <c r="H6" s="19" t="n">
        <f aca="false">IF(OR($A6="",$D6="No in-stock listing"),"",INDEX(Products!$E$5:$E$60,MATCH($A6&amp;"|1",Products!$V$5:$V$60,0)))</f>
        <v>581</v>
      </c>
      <c r="I6" s="19" t="n">
        <f aca="false">IF($E6="","",$E6-$H6)</f>
        <v>0</v>
      </c>
      <c r="J6" s="21" t="str">
        <f aca="false">IF($A6="","",IF($D6="No in-stock listing","No in-stock listing for this product.",IF(OR($D6=$G6,$I6=0),$D6&amp;": lowest in-stock price and best overall value.",$D6&amp;" is the best value. "&amp;$G6&amp;" is cheaper by ₹"&amp;TEXT($I6,"#,##0")&amp;" but scores lower overall across the weighted factors.")))</f>
        <v>Meesho: lowest in-stock price and best overall value.</v>
      </c>
      <c r="K6" s="18" t="n">
        <f aca="false">IF($A6="","",COUNTIF($C$5:$C$19,$C6)-1)</f>
        <v>2</v>
      </c>
      <c r="L6" s="22" t="str">
        <f aca="false">IF(OR($A6="",$E6=""),"",$C6&amp;"|"&amp;$E6)</f>
        <v>Audio|581</v>
      </c>
    </row>
    <row r="7" customFormat="false" ht="15" hidden="false" customHeight="false" outlineLevel="0" collapsed="false">
      <c r="A7" s="17" t="n">
        <v>3</v>
      </c>
      <c r="B7" s="18" t="str">
        <f aca="false">IF($A7="","",INDEX(Products!$B$5:$B$60,MATCH($A7,Products!$A$5:$A$60,0)))</f>
        <v>Wired In-Ear Earphones with Mic</v>
      </c>
      <c r="C7" s="18" t="str">
        <f aca="false">IF($A7="","",INDEX(Products!$C$5:$C$60,MATCH($A7,Products!$A$5:$A$60,0)))</f>
        <v>Audio</v>
      </c>
      <c r="D7" s="18" t="str">
        <f aca="false">IF($A7="","",IFERROR(INDEX(Products!$D$5:$D$60,MATCH($A7&amp;"|1",Products!$U$5:$U$60,0)),"No in-stock listing"))</f>
        <v>Amazon</v>
      </c>
      <c r="E7" s="19" t="n">
        <f aca="false">IF(OR($A7="",$D7="No in-stock listing"),"",INDEX(Products!$E$5:$E$60,MATCH($A7&amp;"|1",Products!$U$5:$U$60,0)))</f>
        <v>94</v>
      </c>
      <c r="F7" s="20" t="n">
        <f aca="false">IF(OR($A7="",$D7="No in-stock listing"),"",INDEX(Products!$R$5:$R$60,MATCH($A7&amp;"|1",Products!$U$5:$U$60,0)))</f>
        <v>89.8</v>
      </c>
      <c r="G7" s="18" t="str">
        <f aca="false">IF(OR($A7="",$D7="No in-stock listing"),"",INDEX(Products!$D$5:$D$60,MATCH($A7&amp;"|1",Products!$V$5:$V$60,0)))</f>
        <v>Amazon</v>
      </c>
      <c r="H7" s="19" t="n">
        <f aca="false">IF(OR($A7="",$D7="No in-stock listing"),"",INDEX(Products!$E$5:$E$60,MATCH($A7&amp;"|1",Products!$V$5:$V$60,0)))</f>
        <v>94</v>
      </c>
      <c r="I7" s="19" t="n">
        <f aca="false">IF($E7="","",$E7-$H7)</f>
        <v>0</v>
      </c>
      <c r="J7" s="21" t="str">
        <f aca="false">IF($A7="","",IF($D7="No in-stock listing","No in-stock listing for this product.",IF(OR($D7=$G7,$I7=0),$D7&amp;": lowest in-stock price and best overall value.",$D7&amp;" is the best value. "&amp;$G7&amp;" is cheaper by ₹"&amp;TEXT($I7,"#,##0")&amp;" but scores lower overall across the weighted factors.")))</f>
        <v>Amazon: lowest in-stock price and best overall value.</v>
      </c>
      <c r="K7" s="18" t="n">
        <f aca="false">IF($A7="","",COUNTIF($C$5:$C$19,$C7)-1)</f>
        <v>2</v>
      </c>
      <c r="L7" s="22" t="str">
        <f aca="false">IF(OR($A7="",$E7=""),"",$C7&amp;"|"&amp;$E7)</f>
        <v>Audio|94</v>
      </c>
    </row>
    <row r="8" customFormat="false" ht="15" hidden="false" customHeight="false" outlineLevel="0" collapsed="false">
      <c r="A8" s="17" t="n">
        <v>4</v>
      </c>
      <c r="B8" s="18" t="str">
        <f aca="false">IF($A8="","",INDEX(Products!$B$5:$B$60,MATCH($A8,Products!$A$5:$A$60,0)))</f>
        <v>Women's Cotton Churidar Set</v>
      </c>
      <c r="C8" s="18" t="str">
        <f aca="false">IF($A8="","",INDEX(Products!$C$5:$C$60,MATCH($A8,Products!$A$5:$A$60,0)))</f>
        <v>Clothing</v>
      </c>
      <c r="D8" s="18" t="str">
        <f aca="false">IF($A8="","",IFERROR(INDEX(Products!$D$5:$D$60,MATCH($A8&amp;"|1",Products!$U$5:$U$60,0)),"No in-stock listing"))</f>
        <v>Meesho</v>
      </c>
      <c r="E8" s="19" t="n">
        <f aca="false">IF(OR($A8="",$D8="No in-stock listing"),"",INDEX(Products!$E$5:$E$60,MATCH($A8&amp;"|1",Products!$U$5:$U$60,0)))</f>
        <v>376</v>
      </c>
      <c r="F8" s="20" t="n">
        <f aca="false">IF(OR($A8="",$D8="No in-stock listing"),"",INDEX(Products!$R$5:$R$60,MATCH($A8&amp;"|1",Products!$U$5:$U$60,0)))</f>
        <v>97</v>
      </c>
      <c r="G8" s="18" t="str">
        <f aca="false">IF(OR($A8="",$D8="No in-stock listing"),"",INDEX(Products!$D$5:$D$60,MATCH($A8&amp;"|1",Products!$V$5:$V$60,0)))</f>
        <v>Meesho</v>
      </c>
      <c r="H8" s="19" t="n">
        <f aca="false">IF(OR($A8="",$D8="No in-stock listing"),"",INDEX(Products!$E$5:$E$60,MATCH($A8&amp;"|1",Products!$V$5:$V$60,0)))</f>
        <v>376</v>
      </c>
      <c r="I8" s="19" t="n">
        <f aca="false">IF($E8="","",$E8-$H8)</f>
        <v>0</v>
      </c>
      <c r="J8" s="21" t="str">
        <f aca="false">IF($A8="","",IF($D8="No in-stock listing","No in-stock listing for this product.",IF(OR($D8=$G8,$I8=0),$D8&amp;": lowest in-stock price and best overall value.",$D8&amp;" is the best value. "&amp;$G8&amp;" is cheaper by ₹"&amp;TEXT($I8,"#,##0")&amp;" but scores lower overall across the weighted factors.")))</f>
        <v>Meesho: lowest in-stock price and best overall value.</v>
      </c>
      <c r="K8" s="18" t="n">
        <f aca="false">IF($A8="","",COUNTIF($C$5:$C$19,$C8)-1)</f>
        <v>4</v>
      </c>
      <c r="L8" s="22" t="str">
        <f aca="false">IF(OR($A8="",$E8=""),"",$C8&amp;"|"&amp;$E8)</f>
        <v>Clothing|376</v>
      </c>
    </row>
    <row r="9" customFormat="false" ht="15" hidden="false" customHeight="false" outlineLevel="0" collapsed="false">
      <c r="A9" s="17" t="n">
        <v>5</v>
      </c>
      <c r="B9" s="18" t="str">
        <f aca="false">IF($A9="","",INDEX(Products!$B$5:$B$60,MATCH($A9,Products!$A$5:$A$60,0)))</f>
        <v>Girls Cotton Party Frock</v>
      </c>
      <c r="C9" s="18" t="str">
        <f aca="false">IF($A9="","",INDEX(Products!$C$5:$C$60,MATCH($A9,Products!$A$5:$A$60,0)))</f>
        <v>Clothing</v>
      </c>
      <c r="D9" s="18" t="str">
        <f aca="false">IF($A9="","",IFERROR(INDEX(Products!$D$5:$D$60,MATCH($A9&amp;"|1",Products!$U$5:$U$60,0)),"No in-stock listing"))</f>
        <v>Meesho</v>
      </c>
      <c r="E9" s="19" t="n">
        <f aca="false">IF(OR($A9="",$D9="No in-stock listing"),"",INDEX(Products!$E$5:$E$60,MATCH($A9&amp;"|1",Products!$U$5:$U$60,0)))</f>
        <v>247</v>
      </c>
      <c r="F9" s="20" t="n">
        <f aca="false">IF(OR($A9="",$D9="No in-stock listing"),"",INDEX(Products!$R$5:$R$60,MATCH($A9&amp;"|1",Products!$U$5:$U$60,0)))</f>
        <v>97</v>
      </c>
      <c r="G9" s="18" t="str">
        <f aca="false">IF(OR($A9="",$D9="No in-stock listing"),"",INDEX(Products!$D$5:$D$60,MATCH($A9&amp;"|1",Products!$V$5:$V$60,0)))</f>
        <v>Meesho</v>
      </c>
      <c r="H9" s="19" t="n">
        <f aca="false">IF(OR($A9="",$D9="No in-stock listing"),"",INDEX(Products!$E$5:$E$60,MATCH($A9&amp;"|1",Products!$V$5:$V$60,0)))</f>
        <v>247</v>
      </c>
      <c r="I9" s="19" t="n">
        <f aca="false">IF($E9="","",$E9-$H9)</f>
        <v>0</v>
      </c>
      <c r="J9" s="21" t="str">
        <f aca="false">IF($A9="","",IF($D9="No in-stock listing","No in-stock listing for this product.",IF(OR($D9=$G9,$I9=0),$D9&amp;": lowest in-stock price and best overall value.",$D9&amp;" is the best value. "&amp;$G9&amp;" is cheaper by ₹"&amp;TEXT($I9,"#,##0")&amp;" but scores lower overall across the weighted factors.")))</f>
        <v>Meesho: lowest in-stock price and best overall value.</v>
      </c>
      <c r="K9" s="18" t="n">
        <f aca="false">IF($A9="","",COUNTIF($C$5:$C$19,$C9)-1)</f>
        <v>4</v>
      </c>
      <c r="L9" s="22" t="str">
        <f aca="false">IF(OR($A9="",$E9=""),"",$C9&amp;"|"&amp;$E9)</f>
        <v>Clothing|247</v>
      </c>
    </row>
    <row r="10" customFormat="false" ht="15" hidden="false" customHeight="false" outlineLevel="0" collapsed="false">
      <c r="A10" s="17" t="n">
        <v>6</v>
      </c>
      <c r="B10" s="18" t="str">
        <f aca="false">IF($A10="","",INDEX(Products!$B$5:$B$60,MATCH($A10,Products!$A$5:$A$60,0)))</f>
        <v>Women's Anarkali Kurti Set</v>
      </c>
      <c r="C10" s="18" t="str">
        <f aca="false">IF($A10="","",INDEX(Products!$C$5:$C$60,MATCH($A10,Products!$A$5:$A$60,0)))</f>
        <v>Clothing</v>
      </c>
      <c r="D10" s="18" t="str">
        <f aca="false">IF($A10="","",IFERROR(INDEX(Products!$D$5:$D$60,MATCH($A10&amp;"|1",Products!$U$5:$U$60,0)),"No in-stock listing"))</f>
        <v>Meesho</v>
      </c>
      <c r="E10" s="19" t="n">
        <f aca="false">IF(OR($A10="",$D10="No in-stock listing"),"",INDEX(Products!$E$5:$E$60,MATCH($A10&amp;"|1",Products!$U$5:$U$60,0)))</f>
        <v>740</v>
      </c>
      <c r="F10" s="20" t="n">
        <f aca="false">IF(OR($A10="",$D10="No in-stock listing"),"",INDEX(Products!$R$5:$R$60,MATCH($A10&amp;"|1",Products!$U$5:$U$60,0)))</f>
        <v>100</v>
      </c>
      <c r="G10" s="18" t="str">
        <f aca="false">IF(OR($A10="",$D10="No in-stock listing"),"",INDEX(Products!$D$5:$D$60,MATCH($A10&amp;"|1",Products!$V$5:$V$60,0)))</f>
        <v>Meesho</v>
      </c>
      <c r="H10" s="19" t="n">
        <f aca="false">IF(OR($A10="",$D10="No in-stock listing"),"",INDEX(Products!$E$5:$E$60,MATCH($A10&amp;"|1",Products!$V$5:$V$60,0)))</f>
        <v>740</v>
      </c>
      <c r="I10" s="19" t="n">
        <f aca="false">IF($E10="","",$E10-$H10)</f>
        <v>0</v>
      </c>
      <c r="J10" s="21" t="str">
        <f aca="false">IF($A10="","",IF($D10="No in-stock listing","No in-stock listing for this product.",IF(OR($D10=$G10,$I10=0),$D10&amp;": lowest in-stock price and best overall value.",$D10&amp;" is the best value. "&amp;$G10&amp;" is cheaper by ₹"&amp;TEXT($I10,"#,##0")&amp;" but scores lower overall across the weighted factors.")))</f>
        <v>Meesho: lowest in-stock price and best overall value.</v>
      </c>
      <c r="K10" s="18" t="n">
        <f aca="false">IF($A10="","",COUNTIF($C$5:$C$19,$C10)-1)</f>
        <v>4</v>
      </c>
      <c r="L10" s="22" t="str">
        <f aca="false">IF(OR($A10="",$E10=""),"",$C10&amp;"|"&amp;$E10)</f>
        <v>Clothing|740</v>
      </c>
    </row>
    <row r="11" customFormat="false" ht="15" hidden="false" customHeight="false" outlineLevel="0" collapsed="false">
      <c r="A11" s="17" t="n">
        <v>7</v>
      </c>
      <c r="B11" s="18" t="str">
        <f aca="false">IF($A11="","",INDEX(Products!$B$5:$B$60,MATCH($A11,Products!$A$5:$A$60,0)))</f>
        <v>Women's Floral Print Maxi Dress</v>
      </c>
      <c r="C11" s="18" t="str">
        <f aca="false">IF($A11="","",INDEX(Products!$C$5:$C$60,MATCH($A11,Products!$A$5:$A$60,0)))</f>
        <v>Clothing</v>
      </c>
      <c r="D11" s="18" t="str">
        <f aca="false">IF($A11="","",IFERROR(INDEX(Products!$D$5:$D$60,MATCH($A11&amp;"|1",Products!$U$5:$U$60,0)),"No in-stock listing"))</f>
        <v>Amazon</v>
      </c>
      <c r="E11" s="19" t="n">
        <f aca="false">IF(OR($A11="",$D11="No in-stock listing"),"",INDEX(Products!$E$5:$E$60,MATCH($A11&amp;"|1",Products!$U$5:$U$60,0)))</f>
        <v>288</v>
      </c>
      <c r="F11" s="20" t="n">
        <f aca="false">IF(OR($A11="",$D11="No in-stock listing"),"",INDEX(Products!$R$5:$R$60,MATCH($A11&amp;"|1",Products!$U$5:$U$60,0)))</f>
        <v>92.8</v>
      </c>
      <c r="G11" s="18" t="str">
        <f aca="false">IF(OR($A11="",$D11="No in-stock listing"),"",INDEX(Products!$D$5:$D$60,MATCH($A11&amp;"|1",Products!$V$5:$V$60,0)))</f>
        <v>Amazon</v>
      </c>
      <c r="H11" s="19" t="n">
        <f aca="false">IF(OR($A11="",$D11="No in-stock listing"),"",INDEX(Products!$E$5:$E$60,MATCH($A11&amp;"|1",Products!$V$5:$V$60,0)))</f>
        <v>288</v>
      </c>
      <c r="I11" s="19" t="n">
        <f aca="false">IF($E11="","",$E11-$H11)</f>
        <v>0</v>
      </c>
      <c r="J11" s="21" t="str">
        <f aca="false">IF($A11="","",IF($D11="No in-stock listing","No in-stock listing for this product.",IF(OR($D11=$G11,$I11=0),$D11&amp;": lowest in-stock price and best overall value.",$D11&amp;" is the best value. "&amp;$G11&amp;" is cheaper by ₹"&amp;TEXT($I11,"#,##0")&amp;" but scores lower overall across the weighted factors.")))</f>
        <v>Amazon: lowest in-stock price and best overall value.</v>
      </c>
      <c r="K11" s="18" t="n">
        <f aca="false">IF($A11="","",COUNTIF($C$5:$C$19,$C11)-1)</f>
        <v>4</v>
      </c>
      <c r="L11" s="22" t="str">
        <f aca="false">IF(OR($A11="",$E11=""),"",$C11&amp;"|"&amp;$E11)</f>
        <v>Clothing|288</v>
      </c>
    </row>
    <row r="12" customFormat="false" ht="15" hidden="false" customHeight="false" outlineLevel="0" collapsed="false">
      <c r="A12" s="17" t="n">
        <v>8</v>
      </c>
      <c r="B12" s="18" t="str">
        <f aca="false">IF($A12="","",INDEX(Products!$B$5:$B$60,MATCH($A12,Products!$A$5:$A$60,0)))</f>
        <v>Men's Cotton Round Neck T-Shirt</v>
      </c>
      <c r="C12" s="18" t="str">
        <f aca="false">IF($A12="","",INDEX(Products!$C$5:$C$60,MATCH($A12,Products!$A$5:$A$60,0)))</f>
        <v>Clothing</v>
      </c>
      <c r="D12" s="18" t="str">
        <f aca="false">IF($A12="","",IFERROR(INDEX(Products!$D$5:$D$60,MATCH($A12&amp;"|1",Products!$U$5:$U$60,0)),"No in-stock listing"))</f>
        <v>Flipkart</v>
      </c>
      <c r="E12" s="19" t="n">
        <f aca="false">IF(OR($A12="",$D12="No in-stock listing"),"",INDEX(Products!$E$5:$E$60,MATCH($A12&amp;"|1",Products!$U$5:$U$60,0)))</f>
        <v>400</v>
      </c>
      <c r="F12" s="20" t="n">
        <f aca="false">IF(OR($A12="",$D12="No in-stock listing"),"",INDEX(Products!$R$5:$R$60,MATCH($A12&amp;"|1",Products!$U$5:$U$60,0)))</f>
        <v>95.8</v>
      </c>
      <c r="G12" s="18" t="str">
        <f aca="false">IF(OR($A12="",$D12="No in-stock listing"),"",INDEX(Products!$D$5:$D$60,MATCH($A12&amp;"|1",Products!$V$5:$V$60,0)))</f>
        <v>Flipkart</v>
      </c>
      <c r="H12" s="19" t="n">
        <f aca="false">IF(OR($A12="",$D12="No in-stock listing"),"",INDEX(Products!$E$5:$E$60,MATCH($A12&amp;"|1",Products!$V$5:$V$60,0)))</f>
        <v>400</v>
      </c>
      <c r="I12" s="19" t="n">
        <f aca="false">IF($E12="","",$E12-$H12)</f>
        <v>0</v>
      </c>
      <c r="J12" s="21" t="str">
        <f aca="false">IF($A12="","",IF($D12="No in-stock listing","No in-stock listing for this product.",IF(OR($D12=$G12,$I12=0),$D12&amp;": lowest in-stock price and best overall value.",$D12&amp;" is the best value. "&amp;$G12&amp;" is cheaper by ₹"&amp;TEXT($I12,"#,##0")&amp;" but scores lower overall across the weighted factors.")))</f>
        <v>Flipkart: lowest in-stock price and best overall value.</v>
      </c>
      <c r="K12" s="18" t="n">
        <f aca="false">IF($A12="","",COUNTIF($C$5:$C$19,$C12)-1)</f>
        <v>4</v>
      </c>
      <c r="L12" s="22" t="str">
        <f aca="false">IF(OR($A12="",$E12=""),"",$C12&amp;"|"&amp;$E12)</f>
        <v>Clothing|400</v>
      </c>
    </row>
    <row r="13" customFormat="false" ht="15" hidden="false" customHeight="false" outlineLevel="0" collapsed="false">
      <c r="A13" s="17" t="n">
        <v>9</v>
      </c>
      <c r="B13" s="18" t="str">
        <f aca="false">IF($A13="","",INDEX(Products!$B$5:$B$60,MATCH($A13,Products!$A$5:$A$60,0)))</f>
        <v>Men's Running Sports Shoes</v>
      </c>
      <c r="C13" s="18" t="str">
        <f aca="false">IF($A13="","",INDEX(Products!$C$5:$C$60,MATCH($A13,Products!$A$5:$A$60,0)))</f>
        <v>Footwear</v>
      </c>
      <c r="D13" s="18" t="str">
        <f aca="false">IF($A13="","",IFERROR(INDEX(Products!$D$5:$D$60,MATCH($A13&amp;"|1",Products!$U$5:$U$60,0)),"No in-stock listing"))</f>
        <v>Meesho</v>
      </c>
      <c r="E13" s="19" t="n">
        <f aca="false">IF(OR($A13="",$D13="No in-stock listing"),"",INDEX(Products!$E$5:$E$60,MATCH($A13&amp;"|1",Products!$U$5:$U$60,0)))</f>
        <v>249</v>
      </c>
      <c r="F13" s="20" t="n">
        <f aca="false">IF(OR($A13="",$D13="No in-stock listing"),"",INDEX(Products!$R$5:$R$60,MATCH($A13&amp;"|1",Products!$U$5:$U$60,0)))</f>
        <v>92.2</v>
      </c>
      <c r="G13" s="18" t="str">
        <f aca="false">IF(OR($A13="",$D13="No in-stock listing"),"",INDEX(Products!$D$5:$D$60,MATCH($A13&amp;"|1",Products!$V$5:$V$60,0)))</f>
        <v>Meesho</v>
      </c>
      <c r="H13" s="19" t="n">
        <f aca="false">IF(OR($A13="",$D13="No in-stock listing"),"",INDEX(Products!$E$5:$E$60,MATCH($A13&amp;"|1",Products!$V$5:$V$60,0)))</f>
        <v>249</v>
      </c>
      <c r="I13" s="19" t="n">
        <f aca="false">IF($E13="","",$E13-$H13)</f>
        <v>0</v>
      </c>
      <c r="J13" s="21" t="str">
        <f aca="false">IF($A13="","",IF($D13="No in-stock listing","No in-stock listing for this product.",IF(OR($D13=$G13,$I13=0),$D13&amp;": lowest in-stock price and best overall value.",$D13&amp;" is the best value. "&amp;$G13&amp;" is cheaper by ₹"&amp;TEXT($I13,"#,##0")&amp;" but scores lower overall across the weighted factors.")))</f>
        <v>Meesho: lowest in-stock price and best overall value.</v>
      </c>
      <c r="K13" s="18" t="n">
        <f aca="false">IF($A13="","",COUNTIF($C$5:$C$19,$C13)-1)</f>
        <v>1</v>
      </c>
      <c r="L13" s="22" t="str">
        <f aca="false">IF(OR($A13="",$E13=""),"",$C13&amp;"|"&amp;$E13)</f>
        <v>Footwear|249</v>
      </c>
    </row>
    <row r="14" customFormat="false" ht="15" hidden="false" customHeight="false" outlineLevel="0" collapsed="false">
      <c r="A14" s="17" t="n">
        <v>10</v>
      </c>
      <c r="B14" s="18" t="str">
        <f aca="false">IF($A14="","",INDEX(Products!$B$5:$B$60,MATCH($A14,Products!$A$5:$A$60,0)))</f>
        <v>Women's Flat Sandals</v>
      </c>
      <c r="C14" s="18" t="str">
        <f aca="false">IF($A14="","",INDEX(Products!$C$5:$C$60,MATCH($A14,Products!$A$5:$A$60,0)))</f>
        <v>Footwear</v>
      </c>
      <c r="D14" s="18" t="str">
        <f aca="false">IF($A14="","",IFERROR(INDEX(Products!$D$5:$D$60,MATCH($A14&amp;"|1",Products!$U$5:$U$60,0)),"No in-stock listing"))</f>
        <v>Meesho</v>
      </c>
      <c r="E14" s="19" t="n">
        <f aca="false">IF(OR($A14="",$D14="No in-stock listing"),"",INDEX(Products!$E$5:$E$60,MATCH($A14&amp;"|1",Products!$U$5:$U$60,0)))</f>
        <v>150</v>
      </c>
      <c r="F14" s="20" t="n">
        <f aca="false">IF(OR($A14="",$D14="No in-stock listing"),"",INDEX(Products!$R$5:$R$60,MATCH($A14&amp;"|1",Products!$U$5:$U$60,0)))</f>
        <v>94</v>
      </c>
      <c r="G14" s="18" t="str">
        <f aca="false">IF(OR($A14="",$D14="No in-stock listing"),"",INDEX(Products!$D$5:$D$60,MATCH($A14&amp;"|1",Products!$V$5:$V$60,0)))</f>
        <v>Meesho</v>
      </c>
      <c r="H14" s="19" t="n">
        <f aca="false">IF(OR($A14="",$D14="No in-stock listing"),"",INDEX(Products!$E$5:$E$60,MATCH($A14&amp;"|1",Products!$V$5:$V$60,0)))</f>
        <v>150</v>
      </c>
      <c r="I14" s="19" t="n">
        <f aca="false">IF($E14="","",$E14-$H14)</f>
        <v>0</v>
      </c>
      <c r="J14" s="21" t="str">
        <f aca="false">IF($A14="","",IF($D14="No in-stock listing","No in-stock listing for this product.",IF(OR($D14=$G14,$I14=0),$D14&amp;": lowest in-stock price and best overall value.",$D14&amp;" is the best value. "&amp;$G14&amp;" is cheaper by ₹"&amp;TEXT($I14,"#,##0")&amp;" but scores lower overall across the weighted factors.")))</f>
        <v>Meesho: lowest in-stock price and best overall value.</v>
      </c>
      <c r="K14" s="18" t="n">
        <f aca="false">IF($A14="","",COUNTIF($C$5:$C$19,$C14)-1)</f>
        <v>1</v>
      </c>
      <c r="L14" s="22" t="str">
        <f aca="false">IF(OR($A14="",$E14=""),"",$C14&amp;"|"&amp;$E14)</f>
        <v>Footwear|150</v>
      </c>
    </row>
    <row r="15" customFormat="false" ht="15" hidden="false" customHeight="false" outlineLevel="0" collapsed="false">
      <c r="A15" s="17" t="n">
        <v>11</v>
      </c>
      <c r="B15" s="18" t="str">
        <f aca="false">IF($A15="","",INDEX(Products!$B$5:$B$60,MATCH($A15,Products!$A$5:$A$60,0)))</f>
        <v>Women's Analog Wrist Watch Metal Strap</v>
      </c>
      <c r="C15" s="18" t="str">
        <f aca="false">IF($A15="","",INDEX(Products!$C$5:$C$60,MATCH($A15,Products!$A$5:$A$60,0)))</f>
        <v>Watches</v>
      </c>
      <c r="D15" s="18" t="str">
        <f aca="false">IF($A15="","",IFERROR(INDEX(Products!$D$5:$D$60,MATCH($A15&amp;"|1",Products!$U$5:$U$60,0)),"No in-stock listing"))</f>
        <v>Amazon</v>
      </c>
      <c r="E15" s="19" t="n">
        <f aca="false">IF(OR($A15="",$D15="No in-stock listing"),"",INDEX(Products!$E$5:$E$60,MATCH($A15&amp;"|1",Products!$U$5:$U$60,0)))</f>
        <v>1995</v>
      </c>
      <c r="F15" s="20" t="n">
        <f aca="false">IF(OR($A15="",$D15="No in-stock listing"),"",INDEX(Products!$R$5:$R$60,MATCH($A15&amp;"|1",Products!$U$5:$U$60,0)))</f>
        <v>94.6</v>
      </c>
      <c r="G15" s="18" t="str">
        <f aca="false">IF(OR($A15="",$D15="No in-stock listing"),"",INDEX(Products!$D$5:$D$60,MATCH($A15&amp;"|1",Products!$V$5:$V$60,0)))</f>
        <v>Amazon</v>
      </c>
      <c r="H15" s="19" t="n">
        <f aca="false">IF(OR($A15="",$D15="No in-stock listing"),"",INDEX(Products!$E$5:$E$60,MATCH($A15&amp;"|1",Products!$V$5:$V$60,0)))</f>
        <v>1995</v>
      </c>
      <c r="I15" s="19" t="n">
        <f aca="false">IF($E15="","",$E15-$H15)</f>
        <v>0</v>
      </c>
      <c r="J15" s="21" t="str">
        <f aca="false">IF($A15="","",IF($D15="No in-stock listing","No in-stock listing for this product.",IF(OR($D15=$G15,$I15=0),$D15&amp;": lowest in-stock price and best overall value.",$D15&amp;" is the best value. "&amp;$G15&amp;" is cheaper by ₹"&amp;TEXT($I15,"#,##0")&amp;" but scores lower overall across the weighted factors.")))</f>
        <v>Amazon: lowest in-stock price and best overall value.</v>
      </c>
      <c r="K15" s="18" t="n">
        <f aca="false">IF($A15="","",COUNTIF($C$5:$C$19,$C15)-1)</f>
        <v>1</v>
      </c>
      <c r="L15" s="22" t="str">
        <f aca="false">IF(OR($A15="",$E15=""),"",$C15&amp;"|"&amp;$E15)</f>
        <v>Watches|1995</v>
      </c>
    </row>
    <row r="16" customFormat="false" ht="15" hidden="false" customHeight="false" outlineLevel="0" collapsed="false">
      <c r="A16" s="17" t="n">
        <v>12</v>
      </c>
      <c r="B16" s="18" t="str">
        <f aca="false">IF($A16="","",INDEX(Products!$B$5:$B$60,MATCH($A16,Products!$A$5:$A$60,0)))</f>
        <v>Men's Digital Sports Watch</v>
      </c>
      <c r="C16" s="18" t="str">
        <f aca="false">IF($A16="","",INDEX(Products!$C$5:$C$60,MATCH($A16,Products!$A$5:$A$60,0)))</f>
        <v>Watches</v>
      </c>
      <c r="D16" s="18" t="str">
        <f aca="false">IF($A16="","",IFERROR(INDEX(Products!$D$5:$D$60,MATCH($A16&amp;"|1",Products!$U$5:$U$60,0)),"No in-stock listing"))</f>
        <v>Amazon</v>
      </c>
      <c r="E16" s="19" t="n">
        <f aca="false">IF(OR($A16="",$D16="No in-stock listing"),"",INDEX(Products!$E$5:$E$60,MATCH($A16&amp;"|1",Products!$U$5:$U$60,0)))</f>
        <v>260</v>
      </c>
      <c r="F16" s="20" t="n">
        <f aca="false">IF(OR($A16="",$D16="No in-stock listing"),"",INDEX(Products!$R$5:$R$60,MATCH($A16&amp;"|1",Products!$U$5:$U$60,0)))</f>
        <v>71</v>
      </c>
      <c r="G16" s="18" t="str">
        <f aca="false">IF(OR($A16="",$D16="No in-stock listing"),"",INDEX(Products!$D$5:$D$60,MATCH($A16&amp;"|1",Products!$V$5:$V$60,0)))</f>
        <v>Amazon</v>
      </c>
      <c r="H16" s="19" t="n">
        <f aca="false">IF(OR($A16="",$D16="No in-stock listing"),"",INDEX(Products!$E$5:$E$60,MATCH($A16&amp;"|1",Products!$V$5:$V$60,0)))</f>
        <v>260</v>
      </c>
      <c r="I16" s="19" t="n">
        <f aca="false">IF($E16="","",$E16-$H16)</f>
        <v>0</v>
      </c>
      <c r="J16" s="21" t="str">
        <f aca="false">IF($A16="","",IF($D16="No in-stock listing","No in-stock listing for this product.",IF(OR($D16=$G16,$I16=0),$D16&amp;": lowest in-stock price and best overall value.",$D16&amp;" is the best value. "&amp;$G16&amp;" is cheaper by ₹"&amp;TEXT($I16,"#,##0")&amp;" but scores lower overall across the weighted factors.")))</f>
        <v>Amazon: lowest in-stock price and best overall value.</v>
      </c>
      <c r="K16" s="18" t="n">
        <f aca="false">IF($A16="","",COUNTIF($C$5:$C$19,$C16)-1)</f>
        <v>1</v>
      </c>
      <c r="L16" s="22" t="str">
        <f aca="false">IF(OR($A16="",$E16=""),"",$C16&amp;"|"&amp;$E16)</f>
        <v>Watches|260</v>
      </c>
    </row>
    <row r="17" customFormat="false" ht="15" hidden="false" customHeight="false" outlineLevel="0" collapsed="false">
      <c r="A17" s="17" t="n">
        <v>13</v>
      </c>
      <c r="B17" s="18" t="str">
        <f aca="false">IF($A17="","",INDEX(Products!$B$5:$B$60,MATCH($A17,Products!$A$5:$A$60,0)))</f>
        <v>Women's Sling Bag</v>
      </c>
      <c r="C17" s="18" t="str">
        <f aca="false">IF($A17="","",INDEX(Products!$C$5:$C$60,MATCH($A17,Products!$A$5:$A$60,0)))</f>
        <v>Bags</v>
      </c>
      <c r="D17" s="18" t="str">
        <f aca="false">IF($A17="","",IFERROR(INDEX(Products!$D$5:$D$60,MATCH($A17&amp;"|1",Products!$U$5:$U$60,0)),"No in-stock listing"))</f>
        <v>Meesho</v>
      </c>
      <c r="E17" s="19" t="n">
        <f aca="false">IF(OR($A17="",$D17="No in-stock listing"),"",INDEX(Products!$E$5:$E$60,MATCH($A17&amp;"|1",Products!$U$5:$U$60,0)))</f>
        <v>143</v>
      </c>
      <c r="F17" s="20" t="n">
        <f aca="false">IF(OR($A17="",$D17="No in-stock listing"),"",INDEX(Products!$R$5:$R$60,MATCH($A17&amp;"|1",Products!$U$5:$U$60,0)))</f>
        <v>96.4</v>
      </c>
      <c r="G17" s="18" t="str">
        <f aca="false">IF(OR($A17="",$D17="No in-stock listing"),"",INDEX(Products!$D$5:$D$60,MATCH($A17&amp;"|1",Products!$V$5:$V$60,0)))</f>
        <v>Meesho</v>
      </c>
      <c r="H17" s="19" t="n">
        <f aca="false">IF(OR($A17="",$D17="No in-stock listing"),"",INDEX(Products!$E$5:$E$60,MATCH($A17&amp;"|1",Products!$V$5:$V$60,0)))</f>
        <v>143</v>
      </c>
      <c r="I17" s="19" t="n">
        <f aca="false">IF($E17="","",$E17-$H17)</f>
        <v>0</v>
      </c>
      <c r="J17" s="21" t="str">
        <f aca="false">IF($A17="","",IF($D17="No in-stock listing","No in-stock listing for this product.",IF(OR($D17=$G17,$I17=0),$D17&amp;": lowest in-stock price and best overall value.",$D17&amp;" is the best value. "&amp;$G17&amp;" is cheaper by ₹"&amp;TEXT($I17,"#,##0")&amp;" but scores lower overall across the weighted factors.")))</f>
        <v>Meesho: lowest in-stock price and best overall value.</v>
      </c>
      <c r="K17" s="18" t="n">
        <f aca="false">IF($A17="","",COUNTIF($C$5:$C$19,$C17)-1)</f>
        <v>0</v>
      </c>
      <c r="L17" s="22" t="str">
        <f aca="false">IF(OR($A17="",$E17=""),"",$C17&amp;"|"&amp;$E17)</f>
        <v>Bags|143</v>
      </c>
    </row>
    <row r="18" customFormat="false" ht="15" hidden="false" customHeight="false" outlineLevel="0" collapsed="false">
      <c r="A18" s="17" t="n">
        <v>14</v>
      </c>
      <c r="B18" s="18" t="str">
        <f aca="false">IF($A18="","",INDEX(Products!$B$5:$B$60,MATCH($A18,Products!$A$5:$A$60,0)))</f>
        <v>Home Decor Item</v>
      </c>
      <c r="C18" s="18" t="str">
        <f aca="false">IF($A18="","",INDEX(Products!$C$5:$C$60,MATCH($A18,Products!$A$5:$A$60,0)))</f>
        <v>Home Decor</v>
      </c>
      <c r="D18" s="18" t="str">
        <f aca="false">IF($A18="","",IFERROR(INDEX(Products!$D$5:$D$60,MATCH($A18&amp;"|1",Products!$U$5:$U$60,0)),"No in-stock listing"))</f>
        <v>Meesho</v>
      </c>
      <c r="E18" s="19" t="n">
        <f aca="false">IF(OR($A18="",$D18="No in-stock listing"),"",INDEX(Products!$E$5:$E$60,MATCH($A18&amp;"|1",Products!$U$5:$U$60,0)))</f>
        <v>200</v>
      </c>
      <c r="F18" s="20" t="n">
        <f aca="false">IF(OR($A18="",$D18="No in-stock listing"),"",INDEX(Products!$R$5:$R$60,MATCH($A18&amp;"|1",Products!$U$5:$U$60,0)))</f>
        <v>95.2</v>
      </c>
      <c r="G18" s="18" t="str">
        <f aca="false">IF(OR($A18="",$D18="No in-stock listing"),"",INDEX(Products!$D$5:$D$60,MATCH($A18&amp;"|1",Products!$V$5:$V$60,0)))</f>
        <v>Meesho</v>
      </c>
      <c r="H18" s="19" t="n">
        <f aca="false">IF(OR($A18="",$D18="No in-stock listing"),"",INDEX(Products!$E$5:$E$60,MATCH($A18&amp;"|1",Products!$V$5:$V$60,0)))</f>
        <v>200</v>
      </c>
      <c r="I18" s="19" t="n">
        <f aca="false">IF($E18="","",$E18-$H18)</f>
        <v>0</v>
      </c>
      <c r="J18" s="21" t="str">
        <f aca="false">IF($A18="","",IF($D18="No in-stock listing","No in-stock listing for this product.",IF(OR($D18=$G18,$I18=0),$D18&amp;": lowest in-stock price and best overall value.",$D18&amp;" is the best value. "&amp;$G18&amp;" is cheaper by ₹"&amp;TEXT($I18,"#,##0")&amp;" but scores lower overall across the weighted factors.")))</f>
        <v>Meesho: lowest in-stock price and best overall value.</v>
      </c>
      <c r="K18" s="18" t="n">
        <f aca="false">IF($A18="","",COUNTIF($C$5:$C$19,$C18)-1)</f>
        <v>0</v>
      </c>
      <c r="L18" s="22" t="str">
        <f aca="false">IF(OR($A18="",$E18=""),"",$C18&amp;"|"&amp;$E18)</f>
        <v>Home Decor|200</v>
      </c>
    </row>
    <row r="19" customFormat="false" ht="15" hidden="false" customHeight="false" outlineLevel="0" collapsed="false">
      <c r="A19" s="17" t="n">
        <v>15</v>
      </c>
      <c r="B19" s="18" t="str">
        <f aca="false">IF($A19="","",INDEX(Products!$B$5:$B$60,MATCH($A19,Products!$A$5:$A$60,0)))</f>
        <v>Kids Cycle</v>
      </c>
      <c r="C19" s="18" t="str">
        <f aca="false">IF($A19="","",INDEX(Products!$C$5:$C$60,MATCH($A19,Products!$A$5:$A$60,0)))</f>
        <v>Kids</v>
      </c>
      <c r="D19" s="18" t="str">
        <f aca="false">IF($A19="","",IFERROR(INDEX(Products!$D$5:$D$60,MATCH($A19&amp;"|1",Products!$U$5:$U$60,0)),"No in-stock listing"))</f>
        <v>Meesho</v>
      </c>
      <c r="E19" s="19" t="n">
        <f aca="false">IF(OR($A19="",$D19="No in-stock listing"),"",INDEX(Products!$E$5:$E$60,MATCH($A19&amp;"|1",Products!$U$5:$U$60,0)))</f>
        <v>700</v>
      </c>
      <c r="F19" s="20" t="n">
        <f aca="false">IF(OR($A19="",$D19="No in-stock listing"),"",INDEX(Products!$R$5:$R$60,MATCH($A19&amp;"|1",Products!$U$5:$U$60,0)))</f>
        <v>92.8</v>
      </c>
      <c r="G19" s="18" t="str">
        <f aca="false">IF(OR($A19="",$D19="No in-stock listing"),"",INDEX(Products!$D$5:$D$60,MATCH($A19&amp;"|1",Products!$V$5:$V$60,0)))</f>
        <v>Meesho</v>
      </c>
      <c r="H19" s="19" t="n">
        <f aca="false">IF(OR($A19="",$D19="No in-stock listing"),"",INDEX(Products!$E$5:$E$60,MATCH($A19&amp;"|1",Products!$V$5:$V$60,0)))</f>
        <v>700</v>
      </c>
      <c r="I19" s="19" t="n">
        <f aca="false">IF($E19="","",$E19-$H19)</f>
        <v>0</v>
      </c>
      <c r="J19" s="21" t="str">
        <f aca="false">IF($A19="","",IF($D19="No in-stock listing","No in-stock listing for this product.",IF(OR($D19=$G19,$I19=0),$D19&amp;": lowest in-stock price and best overall value.",$D19&amp;" is the best value. "&amp;$G19&amp;" is cheaper by ₹"&amp;TEXT($I19,"#,##0")&amp;" but scores lower overall across the weighted factors.")))</f>
        <v>Meesho: lowest in-stock price and best overall value.</v>
      </c>
      <c r="K19" s="18" t="n">
        <f aca="false">IF($A19="","",COUNTIF($C$5:$C$19,$C19)-1)</f>
        <v>0</v>
      </c>
      <c r="L19" s="22" t="str">
        <f aca="false">IF(OR($A19="",$E19=""),"",$C19&amp;"|"&amp;$E19)</f>
        <v>Kids|700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8" min="7" style="0" width="10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2" min="11" style="0" width="9"/>
    <col collapsed="false" customWidth="true" hidden="false" outlineLevel="0" max="13" min="13" style="0" width="11"/>
    <col collapsed="false" customWidth="true" hidden="false" outlineLevel="0" max="15" min="14" style="0" width="9"/>
    <col collapsed="false" customWidth="true" hidden="false" outlineLevel="0" max="16" min="16" style="0" width="10"/>
    <col collapsed="false" customWidth="true" hidden="false" outlineLevel="0" max="17" min="17" style="0" width="9"/>
    <col collapsed="false" customWidth="true" hidden="false" outlineLevel="0" max="18" min="18" style="0" width="12"/>
    <col collapsed="false" customWidth="true" hidden="false" outlineLevel="0" max="20" min="19" style="0" width="9"/>
    <col collapsed="false" customWidth="true" hidden="false" outlineLevel="0" max="22" min="21" style="0" width="13"/>
    <col collapsed="false" customWidth="true" hidden="false" outlineLevel="0" max="23" min="23" style="0" width="34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3" customFormat="false" ht="15" hidden="false" customHeight="false" outlineLevel="0" collapsed="false">
      <c r="A3" s="5" t="s">
        <v>41</v>
      </c>
    </row>
    <row r="4" customFormat="false" ht="31.5" hidden="false" customHeight="true" outlineLevel="0" collapsed="false">
      <c r="A4" s="6" t="s">
        <v>28</v>
      </c>
      <c r="B4" s="6" t="s">
        <v>29</v>
      </c>
      <c r="C4" s="6" t="s">
        <v>30</v>
      </c>
      <c r="D4" s="6" t="s">
        <v>4</v>
      </c>
      <c r="E4" s="6" t="s">
        <v>5</v>
      </c>
      <c r="F4" s="6" t="s">
        <v>6</v>
      </c>
      <c r="G4" s="6" t="s">
        <v>8</v>
      </c>
      <c r="H4" s="6" t="s">
        <v>42</v>
      </c>
      <c r="I4" s="6" t="s">
        <v>10</v>
      </c>
      <c r="J4" s="6" t="s">
        <v>43</v>
      </c>
      <c r="K4" s="6" t="s">
        <v>44</v>
      </c>
      <c r="L4" s="6" t="s">
        <v>45</v>
      </c>
      <c r="M4" s="6" t="s">
        <v>7</v>
      </c>
      <c r="N4" s="6" t="s">
        <v>11</v>
      </c>
      <c r="O4" s="6" t="s">
        <v>12</v>
      </c>
      <c r="P4" s="6" t="s">
        <v>13</v>
      </c>
      <c r="Q4" s="6" t="s">
        <v>46</v>
      </c>
      <c r="R4" s="6" t="s">
        <v>14</v>
      </c>
      <c r="S4" s="6" t="s">
        <v>47</v>
      </c>
      <c r="T4" s="6" t="s">
        <v>16</v>
      </c>
      <c r="U4" s="6" t="s">
        <v>48</v>
      </c>
      <c r="V4" s="6" t="s">
        <v>49</v>
      </c>
      <c r="W4" s="6" t="s">
        <v>50</v>
      </c>
    </row>
    <row r="5" customFormat="false" ht="15" hidden="false" customHeight="false" outlineLevel="0" collapsed="false">
      <c r="A5" s="17" t="n">
        <v>1</v>
      </c>
      <c r="B5" s="17" t="s">
        <v>3</v>
      </c>
      <c r="C5" s="17" t="s">
        <v>51</v>
      </c>
      <c r="D5" s="17" t="s">
        <v>17</v>
      </c>
      <c r="E5" s="23" t="n">
        <v>379</v>
      </c>
      <c r="F5" s="17" t="s">
        <v>52</v>
      </c>
      <c r="G5" s="24" t="n">
        <v>3.7</v>
      </c>
      <c r="H5" s="17" t="s">
        <v>53</v>
      </c>
      <c r="I5" s="25" t="n">
        <v>46310</v>
      </c>
      <c r="J5" s="17"/>
      <c r="K5" s="26" t="s">
        <v>54</v>
      </c>
      <c r="L5" s="26" t="s">
        <v>55</v>
      </c>
      <c r="M5" s="18" t="n">
        <f aca="false">IF($F5="","",IF(ISNUMBER(SEARCH("no warranty",$F5)),0,IF(ISNUMBER(SEARCH("year",$F5)),12*VALUE(LEFT($F5,FIND(" ",$F5)-1)),IF(ISNUMBER(SEARCH("month",$F5)),VALUE(LEFT($F5,FIND(" ",$F5)-1)),""))))</f>
        <v>12</v>
      </c>
      <c r="N5" s="20" t="n">
        <f aca="false">IF(OR($H5&lt;&gt;"Yes",$E5=""),"",IF(_xlfn.MAXIFS($E$5:$E$60,$A$5:$A$60,$A5,$H$5:$H$60,"Yes")=_xlfn.MINIFS($E$5:$E$60,$A$5:$A$60,$A5,$H$5:$H$60,"Yes"),1,(_xlfn.MAXIFS($E$5:$E$60,$A$5:$A$60,$A5,$H$5:$H$60,"Yes")-$E5)/(_xlfn.MAXIFS($E$5:$E$60,$A$5:$A$60,$A5,$H$5:$H$60,"Yes")-_xlfn.MINIFS($E$5:$E$60,$A$5:$A$60,$A5,$H$5:$H$60,"Yes"))))</f>
        <v>0.768094534711965</v>
      </c>
      <c r="O5" s="20" t="n">
        <f aca="false">IF(OR($H5&lt;&gt;"Yes",$G5=""),"",IF(Weights!$B$10="Relative",IF(_xlfn.MAXIFS($G$5:$G$60,$A$5:$A$60,$A5,$H$5:$H$60,"Yes")=_xlfn.MINIFS($G$5:$G$60,$A$5:$A$60,$A5,$H$5:$H$60,"Yes"),1,($G5-_xlfn.MINIFS($G$5:$G$60,$A$5:$A$60,$A5,$H$5:$H$60,"Yes"))/(_xlfn.MAXIFS($G$5:$G$60,$A$5:$A$60,$A5,$H$5:$H$60,"Yes")-_xlfn.MINIFS($G$5:$G$60,$A$5:$A$60,$A5,$H$5:$H$60,"Yes"))),$G5/5))</f>
        <v>0.74</v>
      </c>
      <c r="P5" s="20" t="n">
        <f aca="false">IF(OR($H5&lt;&gt;"Yes",$M5=""),"",IF(_xlfn.MAXIFS($M$5:$M$60,$A$5:$A$60,$A5,$H$5:$H$60,"Yes")=_xlfn.MINIFS($M$5:$M$60,$A$5:$A$60,$A5,$H$5:$H$60,"Yes"),1,($M5-_xlfn.MINIFS($M$5:$M$60,$A$5:$A$60,$A5,$H$5:$H$60,"Yes"))/(_xlfn.MAXIFS($M$5:$M$60,$A$5:$A$60,$A5,$H$5:$H$60,"Yes")-_xlfn.MINIFS($M$5:$M$60,$A$5:$A$60,$A5,$H$5:$H$60,"Yes"))))</f>
        <v>1</v>
      </c>
      <c r="Q5" s="20" t="str">
        <f aca="false">IF(OR($H5&lt;&gt;"Yes",$J5=""),"",IF(_xlfn.MAXIFS($J$5:$J$60,$A$5:$A$60,$A5,$H$5:$H$60,"Yes")=_xlfn.MINIFS($J$5:$J$60,$A$5:$A$60,$A5,$H$5:$H$60,"Yes"),1,(_xlfn.MAXIFS($J$5:$J$60,$A$5:$A$60,$A5,$H$5:$H$60,"Yes")-$J5)/(_xlfn.MAXIFS($J$5:$J$60,$A$5:$A$60,$A5,$H$5:$H$60,"Yes")-_xlfn.MINIFS($J$5:$J$60,$A$5:$A$60,$A5,$H$5:$H$60,"Yes"))))</f>
        <v/>
      </c>
      <c r="R5" s="20" t="n">
        <f aca="false">IF($H5&lt;&gt;"Yes","",IFERROR(ROUND(100*(IF($N5="",0,Weights!$B$5*$N5)+IF($O5="",0,Weights!$B$6*$O5)+IF($P5="",0,Weights!$B$7*$P5)+IF($Q5="",0,Weights!$B$8*$Q5))/(IF($N5="",0,Weights!$B$5)+IF($O5="",0,Weights!$B$6)+IF($P5="",0,Weights!$B$7)+IF($Q5="",0,Weights!$B$8)),2),""))</f>
        <v>80.6</v>
      </c>
      <c r="S5" s="18" t="n">
        <f aca="false">IF($R5="","",COUNTIFS($A$5:$A$60,$A5,$R$5:$R$60,"&gt;"&amp;$R5)+1)</f>
        <v>1</v>
      </c>
      <c r="T5" s="18" t="n">
        <f aca="false">IF(OR($H5&lt;&gt;"Yes",$E5=""),"",COUNTIFS($A$5:$A$60,$A5,$H$5:$H$60,"Yes",$E$5:$E$60,"&lt;"&amp;$E5)+1)</f>
        <v>2</v>
      </c>
      <c r="U5" s="22" t="str">
        <f aca="false">IF($S5="","",$A5&amp;"|"&amp;$S5)</f>
        <v>1|1</v>
      </c>
      <c r="V5" s="22" t="str">
        <f aca="false">IF($T5="","",$A5&amp;"|"&amp;$T5)</f>
        <v>1|2</v>
      </c>
      <c r="W5" s="22" t="str">
        <f aca="false">IF($B5="","",$B5&amp;"|"&amp;$D5)</f>
        <v>Wireless Bluetooth Neckband Earphones|Amazon</v>
      </c>
    </row>
    <row r="6" customFormat="false" ht="15" hidden="false" customHeight="false" outlineLevel="0" collapsed="false">
      <c r="A6" s="17" t="n">
        <v>1</v>
      </c>
      <c r="B6" s="17" t="s">
        <v>3</v>
      </c>
      <c r="C6" s="17" t="s">
        <v>51</v>
      </c>
      <c r="D6" s="17" t="s">
        <v>18</v>
      </c>
      <c r="E6" s="23" t="n">
        <v>899</v>
      </c>
      <c r="F6" s="17" t="s">
        <v>52</v>
      </c>
      <c r="G6" s="24" t="n">
        <v>4.2</v>
      </c>
      <c r="H6" s="17" t="s">
        <v>53</v>
      </c>
      <c r="I6" s="25" t="n">
        <v>46310</v>
      </c>
      <c r="J6" s="17"/>
      <c r="K6" s="26" t="s">
        <v>54</v>
      </c>
      <c r="L6" s="26" t="s">
        <v>55</v>
      </c>
      <c r="M6" s="18" t="n">
        <f aca="false">IF($F6="","",IF(ISNUMBER(SEARCH("no warranty",$F6)),0,IF(ISNUMBER(SEARCH("year",$F6)),12*VALUE(LEFT($F6,FIND(" ",$F6)-1)),IF(ISNUMBER(SEARCH("month",$F6)),VALUE(LEFT($F6,FIND(" ",$F6)-1)),""))))</f>
        <v>12</v>
      </c>
      <c r="N6" s="20" t="n">
        <f aca="false">IF(OR($H6&lt;&gt;"Yes",$E6=""),"",IF(_xlfn.MAXIFS($E$5:$E$60,$A$5:$A$60,$A6,$H$5:$H$60,"Yes")=_xlfn.MINIFS($E$5:$E$60,$A$5:$A$60,$A6,$H$5:$H$60,"Yes"),1,(_xlfn.MAXIFS($E$5:$E$60,$A$5:$A$60,$A6,$H$5:$H$60,"Yes")-$E6)/(_xlfn.MAXIFS($E$5:$E$60,$A$5:$A$60,$A6,$H$5:$H$60,"Yes")-_xlfn.MINIFS($E$5:$E$60,$A$5:$A$60,$A6,$H$5:$H$60,"Yes"))))</f>
        <v>0</v>
      </c>
      <c r="O6" s="20" t="n">
        <f aca="false">IF(OR($H6&lt;&gt;"Yes",$G6=""),"",IF(Weights!$B$10="Relative",IF(_xlfn.MAXIFS($G$5:$G$60,$A$5:$A$60,$A6,$H$5:$H$60,"Yes")=_xlfn.MINIFS($G$5:$G$60,$A$5:$A$60,$A6,$H$5:$H$60,"Yes"),1,($G6-_xlfn.MINIFS($G$5:$G$60,$A$5:$A$60,$A6,$H$5:$H$60,"Yes"))/(_xlfn.MAXIFS($G$5:$G$60,$A$5:$A$60,$A6,$H$5:$H$60,"Yes")-_xlfn.MINIFS($G$5:$G$60,$A$5:$A$60,$A6,$H$5:$H$60,"Yes"))),$G6/5))</f>
        <v>0.84</v>
      </c>
      <c r="P6" s="20" t="n">
        <f aca="false">IF(OR($H6&lt;&gt;"Yes",$M6=""),"",IF(_xlfn.MAXIFS($M$5:$M$60,$A$5:$A$60,$A6,$H$5:$H$60,"Yes")=_xlfn.MINIFS($M$5:$M$60,$A$5:$A$60,$A6,$H$5:$H$60,"Yes"),1,($M6-_xlfn.MINIFS($M$5:$M$60,$A$5:$A$60,$A6,$H$5:$H$60,"Yes"))/(_xlfn.MAXIFS($M$5:$M$60,$A$5:$A$60,$A6,$H$5:$H$60,"Yes")-_xlfn.MINIFS($M$5:$M$60,$A$5:$A$60,$A6,$H$5:$H$60,"Yes"))))</f>
        <v>1</v>
      </c>
      <c r="Q6" s="20" t="str">
        <f aca="false">IF(OR($H6&lt;&gt;"Yes",$J6=""),"",IF(_xlfn.MAXIFS($J$5:$J$60,$A$5:$A$60,$A6,$H$5:$H$60,"Yes")=_xlfn.MINIFS($J$5:$J$60,$A$5:$A$60,$A6,$H$5:$H$60,"Yes"),1,(_xlfn.MAXIFS($J$5:$J$60,$A$5:$A$60,$A6,$H$5:$H$60,"Yes")-$J6)/(_xlfn.MAXIFS($J$5:$J$60,$A$5:$A$60,$A6,$H$5:$H$60,"Yes")-_xlfn.MINIFS($J$5:$J$60,$A$5:$A$60,$A6,$H$5:$H$60,"Yes"))))</f>
        <v/>
      </c>
      <c r="R6" s="20" t="n">
        <f aca="false">IF($H6&lt;&gt;"Yes","",IFERROR(ROUND(100*(IF($N6="",0,Weights!$B$5*$N6)+IF($O6="",0,Weights!$B$6*$O6)+IF($P6="",0,Weights!$B$7*$P6)+IF($Q6="",0,Weights!$B$8*$Q6))/(IF($N6="",0,Weights!$B$5)+IF($O6="",0,Weights!$B$6)+IF($P6="",0,Weights!$B$7)+IF($Q6="",0,Weights!$B$8)),2),""))</f>
        <v>45.2</v>
      </c>
      <c r="S6" s="18" t="n">
        <f aca="false">IF($R6="","",COUNTIFS($A$5:$A$60,$A6,$R$5:$R$60,"&gt;"&amp;$R6)+1)</f>
        <v>3</v>
      </c>
      <c r="T6" s="18" t="n">
        <f aca="false">IF(OR($H6&lt;&gt;"Yes",$E6=""),"",COUNTIFS($A$5:$A$60,$A6,$H$5:$H$60,"Yes",$E$5:$E$60,"&lt;"&amp;$E6)+1)</f>
        <v>3</v>
      </c>
      <c r="U6" s="22" t="str">
        <f aca="false">IF($S6="","",$A6&amp;"|"&amp;$S6)</f>
        <v>1|3</v>
      </c>
      <c r="V6" s="22" t="str">
        <f aca="false">IF($T6="","",$A6&amp;"|"&amp;$T6)</f>
        <v>1|3</v>
      </c>
      <c r="W6" s="22" t="str">
        <f aca="false">IF($B6="","",$B6&amp;"|"&amp;$D6)</f>
        <v>Wireless Bluetooth Neckband Earphones|Flipkart</v>
      </c>
    </row>
    <row r="7" customFormat="false" ht="15" hidden="false" customHeight="false" outlineLevel="0" collapsed="false">
      <c r="A7" s="17" t="n">
        <v>1</v>
      </c>
      <c r="B7" s="17" t="s">
        <v>3</v>
      </c>
      <c r="C7" s="17" t="s">
        <v>51</v>
      </c>
      <c r="D7" s="17" t="s">
        <v>19</v>
      </c>
      <c r="E7" s="23" t="n">
        <v>222</v>
      </c>
      <c r="F7" s="17" t="s">
        <v>56</v>
      </c>
      <c r="G7" s="24" t="n">
        <v>3.9</v>
      </c>
      <c r="H7" s="17" t="s">
        <v>53</v>
      </c>
      <c r="I7" s="25" t="n">
        <v>46310</v>
      </c>
      <c r="J7" s="17"/>
      <c r="K7" s="26" t="s">
        <v>54</v>
      </c>
      <c r="L7" s="26" t="s">
        <v>55</v>
      </c>
      <c r="M7" s="18" t="n">
        <f aca="false">IF($F7="","",IF(ISNUMBER(SEARCH("no warranty",$F7)),0,IF(ISNUMBER(SEARCH("year",$F7)),12*VALUE(LEFT($F7,FIND(" ",$F7)-1)),IF(ISNUMBER(SEARCH("month",$F7)),VALUE(LEFT($F7,FIND(" ",$F7)-1)),""))))</f>
        <v>0</v>
      </c>
      <c r="N7" s="20" t="n">
        <f aca="false">IF(OR($H7&lt;&gt;"Yes",$E7=""),"",IF(_xlfn.MAXIFS($E$5:$E$60,$A$5:$A$60,$A7,$H$5:$H$60,"Yes")=_xlfn.MINIFS($E$5:$E$60,$A$5:$A$60,$A7,$H$5:$H$60,"Yes"),1,(_xlfn.MAXIFS($E$5:$E$60,$A$5:$A$60,$A7,$H$5:$H$60,"Yes")-$E7)/(_xlfn.MAXIFS($E$5:$E$60,$A$5:$A$60,$A7,$H$5:$H$60,"Yes")-_xlfn.MINIFS($E$5:$E$60,$A$5:$A$60,$A7,$H$5:$H$60,"Yes"))))</f>
        <v>1</v>
      </c>
      <c r="O7" s="20" t="n">
        <f aca="false">IF(OR($H7&lt;&gt;"Yes",$G7=""),"",IF(Weights!$B$10="Relative",IF(_xlfn.MAXIFS($G$5:$G$60,$A$5:$A$60,$A7,$H$5:$H$60,"Yes")=_xlfn.MINIFS($G$5:$G$60,$A$5:$A$60,$A7,$H$5:$H$60,"Yes"),1,($G7-_xlfn.MINIFS($G$5:$G$60,$A$5:$A$60,$A7,$H$5:$H$60,"Yes"))/(_xlfn.MAXIFS($G$5:$G$60,$A$5:$A$60,$A7,$H$5:$H$60,"Yes")-_xlfn.MINIFS($G$5:$G$60,$A$5:$A$60,$A7,$H$5:$H$60,"Yes"))),$G7/5))</f>
        <v>0.78</v>
      </c>
      <c r="P7" s="20" t="n">
        <f aca="false">IF(OR($H7&lt;&gt;"Yes",$M7=""),"",IF(_xlfn.MAXIFS($M$5:$M$60,$A$5:$A$60,$A7,$H$5:$H$60,"Yes")=_xlfn.MINIFS($M$5:$M$60,$A$5:$A$60,$A7,$H$5:$H$60,"Yes"),1,($M7-_xlfn.MINIFS($M$5:$M$60,$A$5:$A$60,$A7,$H$5:$H$60,"Yes"))/(_xlfn.MAXIFS($M$5:$M$60,$A$5:$A$60,$A7,$H$5:$H$60,"Yes")-_xlfn.MINIFS($M$5:$M$60,$A$5:$A$60,$A7,$H$5:$H$60,"Yes"))))</f>
        <v>0</v>
      </c>
      <c r="Q7" s="20" t="str">
        <f aca="false">IF(OR($H7&lt;&gt;"Yes",$J7=""),"",IF(_xlfn.MAXIFS($J$5:$J$60,$A$5:$A$60,$A7,$H$5:$H$60,"Yes")=_xlfn.MINIFS($J$5:$J$60,$A$5:$A$60,$A7,$H$5:$H$60,"Yes"),1,(_xlfn.MAXIFS($J$5:$J$60,$A$5:$A$60,$A7,$H$5:$H$60,"Yes")-$J7)/(_xlfn.MAXIFS($J$5:$J$60,$A$5:$A$60,$A7,$H$5:$H$60,"Yes")-_xlfn.MINIFS($J$5:$J$60,$A$5:$A$60,$A7,$H$5:$H$60,"Yes"))))</f>
        <v/>
      </c>
      <c r="R7" s="20" t="n">
        <f aca="false">IF($H7&lt;&gt;"Yes","",IFERROR(ROUND(100*(IF($N7="",0,Weights!$B$5*$N7)+IF($O7="",0,Weights!$B$6*$O7)+IF($P7="",0,Weights!$B$7*$P7)+IF($Q7="",0,Weights!$B$8*$Q7))/(IF($N7="",0,Weights!$B$5)+IF($O7="",0,Weights!$B$6)+IF($P7="",0,Weights!$B$7)+IF($Q7="",0,Weights!$B$8)),2),""))</f>
        <v>73.4</v>
      </c>
      <c r="S7" s="18" t="n">
        <f aca="false">IF($R7="","",COUNTIFS($A$5:$A$60,$A7,$R$5:$R$60,"&gt;"&amp;$R7)+1)</f>
        <v>2</v>
      </c>
      <c r="T7" s="18" t="n">
        <f aca="false">IF(OR($H7&lt;&gt;"Yes",$E7=""),"",COUNTIFS($A$5:$A$60,$A7,$H$5:$H$60,"Yes",$E$5:$E$60,"&lt;"&amp;$E7)+1)</f>
        <v>1</v>
      </c>
      <c r="U7" s="22" t="str">
        <f aca="false">IF($S7="","",$A7&amp;"|"&amp;$S7)</f>
        <v>1|2</v>
      </c>
      <c r="V7" s="22" t="str">
        <f aca="false">IF($T7="","",$A7&amp;"|"&amp;$T7)</f>
        <v>1|1</v>
      </c>
      <c r="W7" s="22" t="str">
        <f aca="false">IF($B7="","",$B7&amp;"|"&amp;$D7)</f>
        <v>Wireless Bluetooth Neckband Earphones|Meesho</v>
      </c>
    </row>
    <row r="8" customFormat="false" ht="15" hidden="false" customHeight="false" outlineLevel="0" collapsed="false">
      <c r="A8" s="17" t="n">
        <v>2</v>
      </c>
      <c r="B8" s="17" t="s">
        <v>57</v>
      </c>
      <c r="C8" s="17" t="s">
        <v>51</v>
      </c>
      <c r="D8" s="17" t="s">
        <v>17</v>
      </c>
      <c r="E8" s="23" t="n">
        <v>999</v>
      </c>
      <c r="F8" s="17" t="s">
        <v>52</v>
      </c>
      <c r="G8" s="24" t="n">
        <v>3.8</v>
      </c>
      <c r="H8" s="17" t="s">
        <v>53</v>
      </c>
      <c r="I8" s="25" t="n">
        <v>46310</v>
      </c>
      <c r="J8" s="17"/>
      <c r="K8" s="26" t="s">
        <v>54</v>
      </c>
      <c r="L8" s="26" t="s">
        <v>55</v>
      </c>
      <c r="M8" s="18" t="n">
        <f aca="false">IF($F8="","",IF(ISNUMBER(SEARCH("no warranty",$F8)),0,IF(ISNUMBER(SEARCH("year",$F8)),12*VALUE(LEFT($F8,FIND(" ",$F8)-1)),IF(ISNUMBER(SEARCH("month",$F8)),VALUE(LEFT($F8,FIND(" ",$F8)-1)),""))))</f>
        <v>12</v>
      </c>
      <c r="N8" s="20" t="n">
        <f aca="false">IF(OR($H8&lt;&gt;"Yes",$E8=""),"",IF(_xlfn.MAXIFS($E$5:$E$60,$A$5:$A$60,$A8,$H$5:$H$60,"Yes")=_xlfn.MINIFS($E$5:$E$60,$A$5:$A$60,$A8,$H$5:$H$60,"Yes"),1,(_xlfn.MAXIFS($E$5:$E$60,$A$5:$A$60,$A8,$H$5:$H$60,"Yes")-$E8)/(_xlfn.MAXIFS($E$5:$E$60,$A$5:$A$60,$A8,$H$5:$H$60,"Yes")-_xlfn.MINIFS($E$5:$E$60,$A$5:$A$60,$A8,$H$5:$H$60,"Yes"))))</f>
        <v>0</v>
      </c>
      <c r="O8" s="20" t="n">
        <f aca="false">IF(OR($H8&lt;&gt;"Yes",$G8=""),"",IF(Weights!$B$10="Relative",IF(_xlfn.MAXIFS($G$5:$G$60,$A$5:$A$60,$A8,$H$5:$H$60,"Yes")=_xlfn.MINIFS($G$5:$G$60,$A$5:$A$60,$A8,$H$5:$H$60,"Yes"),1,($G8-_xlfn.MINIFS($G$5:$G$60,$A$5:$A$60,$A8,$H$5:$H$60,"Yes"))/(_xlfn.MAXIFS($G$5:$G$60,$A$5:$A$60,$A8,$H$5:$H$60,"Yes")-_xlfn.MINIFS($G$5:$G$60,$A$5:$A$60,$A8,$H$5:$H$60,"Yes"))),$G8/5))</f>
        <v>0.76</v>
      </c>
      <c r="P8" s="20" t="n">
        <f aca="false">IF(OR($H8&lt;&gt;"Yes",$M8=""),"",IF(_xlfn.MAXIFS($M$5:$M$60,$A$5:$A$60,$A8,$H$5:$H$60,"Yes")=_xlfn.MINIFS($M$5:$M$60,$A$5:$A$60,$A8,$H$5:$H$60,"Yes"),1,($M8-_xlfn.MINIFS($M$5:$M$60,$A$5:$A$60,$A8,$H$5:$H$60,"Yes"))/(_xlfn.MAXIFS($M$5:$M$60,$A$5:$A$60,$A8,$H$5:$H$60,"Yes")-_xlfn.MINIFS($M$5:$M$60,$A$5:$A$60,$A8,$H$5:$H$60,"Yes"))))</f>
        <v>1</v>
      </c>
      <c r="Q8" s="20" t="str">
        <f aca="false">IF(OR($H8&lt;&gt;"Yes",$J8=""),"",IF(_xlfn.MAXIFS($J$5:$J$60,$A$5:$A$60,$A8,$H$5:$H$60,"Yes")=_xlfn.MINIFS($J$5:$J$60,$A$5:$A$60,$A8,$H$5:$H$60,"Yes"),1,(_xlfn.MAXIFS($J$5:$J$60,$A$5:$A$60,$A8,$H$5:$H$60,"Yes")-$J8)/(_xlfn.MAXIFS($J$5:$J$60,$A$5:$A$60,$A8,$H$5:$H$60,"Yes")-_xlfn.MINIFS($J$5:$J$60,$A$5:$A$60,$A8,$H$5:$H$60,"Yes"))))</f>
        <v/>
      </c>
      <c r="R8" s="20" t="n">
        <f aca="false">IF($H8&lt;&gt;"Yes","",IFERROR(ROUND(100*(IF($N8="",0,Weights!$B$5*$N8)+IF($O8="",0,Weights!$B$6*$O8)+IF($P8="",0,Weights!$B$7*$P8)+IF($Q8="",0,Weights!$B$8*$Q8))/(IF($N8="",0,Weights!$B$5)+IF($O8="",0,Weights!$B$6)+IF($P8="",0,Weights!$B$7)+IF($Q8="",0,Weights!$B$8)),2),""))</f>
        <v>42.8</v>
      </c>
      <c r="S8" s="18" t="n">
        <f aca="false">IF($R8="","",COUNTIFS($A$5:$A$60,$A8,$R$5:$R$60,"&gt;"&amp;$R8)+1)</f>
        <v>3</v>
      </c>
      <c r="T8" s="18" t="n">
        <f aca="false">IF(OR($H8&lt;&gt;"Yes",$E8=""),"",COUNTIFS($A$5:$A$60,$A8,$H$5:$H$60,"Yes",$E$5:$E$60,"&lt;"&amp;$E8)+1)</f>
        <v>3</v>
      </c>
      <c r="U8" s="22" t="str">
        <f aca="false">IF($S8="","",$A8&amp;"|"&amp;$S8)</f>
        <v>2|3</v>
      </c>
      <c r="V8" s="22" t="str">
        <f aca="false">IF($T8="","",$A8&amp;"|"&amp;$T8)</f>
        <v>2|3</v>
      </c>
      <c r="W8" s="22" t="str">
        <f aca="false">IF($B8="","",$B8&amp;"|"&amp;$D8)</f>
        <v>True Wireless Earbuds with Charging Case|Amazon</v>
      </c>
    </row>
    <row r="9" customFormat="false" ht="15" hidden="false" customHeight="false" outlineLevel="0" collapsed="false">
      <c r="A9" s="17" t="n">
        <v>2</v>
      </c>
      <c r="B9" s="17" t="s">
        <v>57</v>
      </c>
      <c r="C9" s="17" t="s">
        <v>51</v>
      </c>
      <c r="D9" s="17" t="s">
        <v>18</v>
      </c>
      <c r="E9" s="23" t="n">
        <v>899</v>
      </c>
      <c r="F9" s="17" t="s">
        <v>52</v>
      </c>
      <c r="G9" s="24" t="n">
        <v>4.1</v>
      </c>
      <c r="H9" s="17" t="s">
        <v>53</v>
      </c>
      <c r="I9" s="25" t="n">
        <v>46310</v>
      </c>
      <c r="J9" s="17"/>
      <c r="K9" s="26" t="s">
        <v>54</v>
      </c>
      <c r="L9" s="26" t="s">
        <v>55</v>
      </c>
      <c r="M9" s="18" t="n">
        <f aca="false">IF($F9="","",IF(ISNUMBER(SEARCH("no warranty",$F9)),0,IF(ISNUMBER(SEARCH("year",$F9)),12*VALUE(LEFT($F9,FIND(" ",$F9)-1)),IF(ISNUMBER(SEARCH("month",$F9)),VALUE(LEFT($F9,FIND(" ",$F9)-1)),""))))</f>
        <v>12</v>
      </c>
      <c r="N9" s="20" t="n">
        <f aca="false">IF(OR($H9&lt;&gt;"Yes",$E9=""),"",IF(_xlfn.MAXIFS($E$5:$E$60,$A$5:$A$60,$A9,$H$5:$H$60,"Yes")=_xlfn.MINIFS($E$5:$E$60,$A$5:$A$60,$A9,$H$5:$H$60,"Yes"),1,(_xlfn.MAXIFS($E$5:$E$60,$A$5:$A$60,$A9,$H$5:$H$60,"Yes")-$E9)/(_xlfn.MAXIFS($E$5:$E$60,$A$5:$A$60,$A9,$H$5:$H$60,"Yes")-_xlfn.MINIFS($E$5:$E$60,$A$5:$A$60,$A9,$H$5:$H$60,"Yes"))))</f>
        <v>0.239234449760766</v>
      </c>
      <c r="O9" s="20" t="n">
        <f aca="false">IF(OR($H9&lt;&gt;"Yes",$G9=""),"",IF(Weights!$B$10="Relative",IF(_xlfn.MAXIFS($G$5:$G$60,$A$5:$A$60,$A9,$H$5:$H$60,"Yes")=_xlfn.MINIFS($G$5:$G$60,$A$5:$A$60,$A9,$H$5:$H$60,"Yes"),1,($G9-_xlfn.MINIFS($G$5:$G$60,$A$5:$A$60,$A9,$H$5:$H$60,"Yes"))/(_xlfn.MAXIFS($G$5:$G$60,$A$5:$A$60,$A9,$H$5:$H$60,"Yes")-_xlfn.MINIFS($G$5:$G$60,$A$5:$A$60,$A9,$H$5:$H$60,"Yes"))),$G9/5))</f>
        <v>0.82</v>
      </c>
      <c r="P9" s="20" t="n">
        <f aca="false">IF(OR($H9&lt;&gt;"Yes",$M9=""),"",IF(_xlfn.MAXIFS($M$5:$M$60,$A$5:$A$60,$A9,$H$5:$H$60,"Yes")=_xlfn.MINIFS($M$5:$M$60,$A$5:$A$60,$A9,$H$5:$H$60,"Yes"),1,($M9-_xlfn.MINIFS($M$5:$M$60,$A$5:$A$60,$A9,$H$5:$H$60,"Yes"))/(_xlfn.MAXIFS($M$5:$M$60,$A$5:$A$60,$A9,$H$5:$H$60,"Yes")-_xlfn.MINIFS($M$5:$M$60,$A$5:$A$60,$A9,$H$5:$H$60,"Yes"))))</f>
        <v>1</v>
      </c>
      <c r="Q9" s="20" t="str">
        <f aca="false">IF(OR($H9&lt;&gt;"Yes",$J9=""),"",IF(_xlfn.MAXIFS($J$5:$J$60,$A$5:$A$60,$A9,$H$5:$H$60,"Yes")=_xlfn.MINIFS($J$5:$J$60,$A$5:$A$60,$A9,$H$5:$H$60,"Yes"),1,(_xlfn.MAXIFS($J$5:$J$60,$A$5:$A$60,$A9,$H$5:$H$60,"Yes")-$J9)/(_xlfn.MAXIFS($J$5:$J$60,$A$5:$A$60,$A9,$H$5:$H$60,"Yes")-_xlfn.MINIFS($J$5:$J$60,$A$5:$A$60,$A9,$H$5:$H$60,"Yes"))))</f>
        <v/>
      </c>
      <c r="R9" s="20" t="n">
        <f aca="false">IF($H9&lt;&gt;"Yes","",IFERROR(ROUND(100*(IF($N9="",0,Weights!$B$5*$N9)+IF($O9="",0,Weights!$B$6*$O9)+IF($P9="",0,Weights!$B$7*$P9)+IF($Q9="",0,Weights!$B$8*$Q9))/(IF($N9="",0,Weights!$B$5)+IF($O9="",0,Weights!$B$6)+IF($P9="",0,Weights!$B$7)+IF($Q9="",0,Weights!$B$8)),2),""))</f>
        <v>56.56</v>
      </c>
      <c r="S9" s="18" t="n">
        <f aca="false">IF($R9="","",COUNTIFS($A$5:$A$60,$A9,$R$5:$R$60,"&gt;"&amp;$R9)+1)</f>
        <v>2</v>
      </c>
      <c r="T9" s="18" t="n">
        <f aca="false">IF(OR($H9&lt;&gt;"Yes",$E9=""),"",COUNTIFS($A$5:$A$60,$A9,$H$5:$H$60,"Yes",$E$5:$E$60,"&lt;"&amp;$E9)+1)</f>
        <v>2</v>
      </c>
      <c r="U9" s="22" t="str">
        <f aca="false">IF($S9="","",$A9&amp;"|"&amp;$S9)</f>
        <v>2|2</v>
      </c>
      <c r="V9" s="22" t="str">
        <f aca="false">IF($T9="","",$A9&amp;"|"&amp;$T9)</f>
        <v>2|2</v>
      </c>
      <c r="W9" s="22" t="str">
        <f aca="false">IF($B9="","",$B9&amp;"|"&amp;$D9)</f>
        <v>True Wireless Earbuds with Charging Case|Flipkart</v>
      </c>
    </row>
    <row r="10" customFormat="false" ht="15" hidden="false" customHeight="false" outlineLevel="0" collapsed="false">
      <c r="A10" s="17" t="n">
        <v>2</v>
      </c>
      <c r="B10" s="17" t="s">
        <v>57</v>
      </c>
      <c r="C10" s="17" t="s">
        <v>51</v>
      </c>
      <c r="D10" s="17" t="s">
        <v>19</v>
      </c>
      <c r="E10" s="23" t="n">
        <v>581</v>
      </c>
      <c r="F10" s="17" t="s">
        <v>58</v>
      </c>
      <c r="G10" s="24" t="n">
        <v>4.1</v>
      </c>
      <c r="H10" s="17" t="s">
        <v>53</v>
      </c>
      <c r="I10" s="25" t="n">
        <v>46310</v>
      </c>
      <c r="J10" s="17"/>
      <c r="K10" s="26" t="s">
        <v>54</v>
      </c>
      <c r="L10" s="26" t="s">
        <v>55</v>
      </c>
      <c r="M10" s="18" t="n">
        <f aca="false">IF($F10="","",IF(ISNUMBER(SEARCH("no warranty",$F10)),0,IF(ISNUMBER(SEARCH("year",$F10)),12*VALUE(LEFT($F10,FIND(" ",$F10)-1)),IF(ISNUMBER(SEARCH("month",$F10)),VALUE(LEFT($F10,FIND(" ",$F10)-1)),""))))</f>
        <v>1</v>
      </c>
      <c r="N10" s="20" t="n">
        <f aca="false">IF(OR($H10&lt;&gt;"Yes",$E10=""),"",IF(_xlfn.MAXIFS($E$5:$E$60,$A$5:$A$60,$A10,$H$5:$H$60,"Yes")=_xlfn.MINIFS($E$5:$E$60,$A$5:$A$60,$A10,$H$5:$H$60,"Yes"),1,(_xlfn.MAXIFS($E$5:$E$60,$A$5:$A$60,$A10,$H$5:$H$60,"Yes")-$E10)/(_xlfn.MAXIFS($E$5:$E$60,$A$5:$A$60,$A10,$H$5:$H$60,"Yes")-_xlfn.MINIFS($E$5:$E$60,$A$5:$A$60,$A10,$H$5:$H$60,"Yes"))))</f>
        <v>1</v>
      </c>
      <c r="O10" s="20" t="n">
        <f aca="false">IF(OR($H10&lt;&gt;"Yes",$G10=""),"",IF(Weights!$B$10="Relative",IF(_xlfn.MAXIFS($G$5:$G$60,$A$5:$A$60,$A10,$H$5:$H$60,"Yes")=_xlfn.MINIFS($G$5:$G$60,$A$5:$A$60,$A10,$H$5:$H$60,"Yes"),1,($G10-_xlfn.MINIFS($G$5:$G$60,$A$5:$A$60,$A10,$H$5:$H$60,"Yes"))/(_xlfn.MAXIFS($G$5:$G$60,$A$5:$A$60,$A10,$H$5:$H$60,"Yes")-_xlfn.MINIFS($G$5:$G$60,$A$5:$A$60,$A10,$H$5:$H$60,"Yes"))),$G10/5))</f>
        <v>0.82</v>
      </c>
      <c r="P10" s="20" t="n">
        <f aca="false">IF(OR($H10&lt;&gt;"Yes",$M10=""),"",IF(_xlfn.MAXIFS($M$5:$M$60,$A$5:$A$60,$A10,$H$5:$H$60,"Yes")=_xlfn.MINIFS($M$5:$M$60,$A$5:$A$60,$A10,$H$5:$H$60,"Yes"),1,($M10-_xlfn.MINIFS($M$5:$M$60,$A$5:$A$60,$A10,$H$5:$H$60,"Yes"))/(_xlfn.MAXIFS($M$5:$M$60,$A$5:$A$60,$A10,$H$5:$H$60,"Yes")-_xlfn.MINIFS($M$5:$M$60,$A$5:$A$60,$A10,$H$5:$H$60,"Yes"))))</f>
        <v>0</v>
      </c>
      <c r="Q10" s="20" t="str">
        <f aca="false">IF(OR($H10&lt;&gt;"Yes",$J10=""),"",IF(_xlfn.MAXIFS($J$5:$J$60,$A$5:$A$60,$A10,$H$5:$H$60,"Yes")=_xlfn.MINIFS($J$5:$J$60,$A$5:$A$60,$A10,$H$5:$H$60,"Yes"),1,(_xlfn.MAXIFS($J$5:$J$60,$A$5:$A$60,$A10,$H$5:$H$60,"Yes")-$J10)/(_xlfn.MAXIFS($J$5:$J$60,$A$5:$A$60,$A10,$H$5:$H$60,"Yes")-_xlfn.MINIFS($J$5:$J$60,$A$5:$A$60,$A10,$H$5:$H$60,"Yes"))))</f>
        <v/>
      </c>
      <c r="R10" s="20" t="n">
        <f aca="false">IF($H10&lt;&gt;"Yes","",IFERROR(ROUND(100*(IF($N10="",0,Weights!$B$5*$N10)+IF($O10="",0,Weights!$B$6*$O10)+IF($P10="",0,Weights!$B$7*$P10)+IF($Q10="",0,Weights!$B$8*$Q10))/(IF($N10="",0,Weights!$B$5)+IF($O10="",0,Weights!$B$6)+IF($P10="",0,Weights!$B$7)+IF($Q10="",0,Weights!$B$8)),2),""))</f>
        <v>74.6</v>
      </c>
      <c r="S10" s="18" t="n">
        <f aca="false">IF($R10="","",COUNTIFS($A$5:$A$60,$A10,$R$5:$R$60,"&gt;"&amp;$R10)+1)</f>
        <v>1</v>
      </c>
      <c r="T10" s="18" t="n">
        <f aca="false">IF(OR($H10&lt;&gt;"Yes",$E10=""),"",COUNTIFS($A$5:$A$60,$A10,$H$5:$H$60,"Yes",$E$5:$E$60,"&lt;"&amp;$E10)+1)</f>
        <v>1</v>
      </c>
      <c r="U10" s="22" t="str">
        <f aca="false">IF($S10="","",$A10&amp;"|"&amp;$S10)</f>
        <v>2|1</v>
      </c>
      <c r="V10" s="22" t="str">
        <f aca="false">IF($T10="","",$A10&amp;"|"&amp;$T10)</f>
        <v>2|1</v>
      </c>
      <c r="W10" s="22" t="str">
        <f aca="false">IF($B10="","",$B10&amp;"|"&amp;$D10)</f>
        <v>True Wireless Earbuds with Charging Case|Meesho</v>
      </c>
    </row>
    <row r="11" customFormat="false" ht="15" hidden="false" customHeight="false" outlineLevel="0" collapsed="false">
      <c r="A11" s="17" t="n">
        <v>3</v>
      </c>
      <c r="B11" s="17" t="s">
        <v>59</v>
      </c>
      <c r="C11" s="17" t="s">
        <v>51</v>
      </c>
      <c r="D11" s="17" t="s">
        <v>17</v>
      </c>
      <c r="E11" s="23" t="n">
        <v>94</v>
      </c>
      <c r="F11" s="17" t="s">
        <v>60</v>
      </c>
      <c r="G11" s="24" t="n">
        <v>3.3</v>
      </c>
      <c r="H11" s="17" t="s">
        <v>53</v>
      </c>
      <c r="I11" s="25" t="n">
        <v>46310</v>
      </c>
      <c r="J11" s="17"/>
      <c r="K11" s="26" t="s">
        <v>54</v>
      </c>
      <c r="L11" s="26" t="s">
        <v>55</v>
      </c>
      <c r="M11" s="18" t="n">
        <f aca="false">IF($F11="","",IF(ISNUMBER(SEARCH("no warranty",$F11)),0,IF(ISNUMBER(SEARCH("year",$F11)),12*VALUE(LEFT($F11,FIND(" ",$F11)-1)),IF(ISNUMBER(SEARCH("month",$F11)),VALUE(LEFT($F11,FIND(" ",$F11)-1)),""))))</f>
        <v>12</v>
      </c>
      <c r="N11" s="20" t="n">
        <f aca="false">IF(OR($H11&lt;&gt;"Yes",$E11=""),"",IF(_xlfn.MAXIFS($E$5:$E$60,$A$5:$A$60,$A11,$H$5:$H$60,"Yes")=_xlfn.MINIFS($E$5:$E$60,$A$5:$A$60,$A11,$H$5:$H$60,"Yes"),1,(_xlfn.MAXIFS($E$5:$E$60,$A$5:$A$60,$A11,$H$5:$H$60,"Yes")-$E11)/(_xlfn.MAXIFS($E$5:$E$60,$A$5:$A$60,$A11,$H$5:$H$60,"Yes")-_xlfn.MINIFS($E$5:$E$60,$A$5:$A$60,$A11,$H$5:$H$60,"Yes"))))</f>
        <v>1</v>
      </c>
      <c r="O11" s="20" t="n">
        <f aca="false">IF(OR($H11&lt;&gt;"Yes",$G11=""),"",IF(Weights!$B$10="Relative",IF(_xlfn.MAXIFS($G$5:$G$60,$A$5:$A$60,$A11,$H$5:$H$60,"Yes")=_xlfn.MINIFS($G$5:$G$60,$A$5:$A$60,$A11,$H$5:$H$60,"Yes"),1,($G11-_xlfn.MINIFS($G$5:$G$60,$A$5:$A$60,$A11,$H$5:$H$60,"Yes"))/(_xlfn.MAXIFS($G$5:$G$60,$A$5:$A$60,$A11,$H$5:$H$60,"Yes")-_xlfn.MINIFS($G$5:$G$60,$A$5:$A$60,$A11,$H$5:$H$60,"Yes"))),$G11/5))</f>
        <v>0.66</v>
      </c>
      <c r="P11" s="20" t="n">
        <f aca="false">IF(OR($H11&lt;&gt;"Yes",$M11=""),"",IF(_xlfn.MAXIFS($M$5:$M$60,$A$5:$A$60,$A11,$H$5:$H$60,"Yes")=_xlfn.MINIFS($M$5:$M$60,$A$5:$A$60,$A11,$H$5:$H$60,"Yes"),1,($M11-_xlfn.MINIFS($M$5:$M$60,$A$5:$A$60,$A11,$H$5:$H$60,"Yes"))/(_xlfn.MAXIFS($M$5:$M$60,$A$5:$A$60,$A11,$H$5:$H$60,"Yes")-_xlfn.MINIFS($M$5:$M$60,$A$5:$A$60,$A11,$H$5:$H$60,"Yes"))))</f>
        <v>1</v>
      </c>
      <c r="Q11" s="20" t="str">
        <f aca="false">IF(OR($H11&lt;&gt;"Yes",$J11=""),"",IF(_xlfn.MAXIFS($J$5:$J$60,$A$5:$A$60,$A11,$H$5:$H$60,"Yes")=_xlfn.MINIFS($J$5:$J$60,$A$5:$A$60,$A11,$H$5:$H$60,"Yes"),1,(_xlfn.MAXIFS($J$5:$J$60,$A$5:$A$60,$A11,$H$5:$H$60,"Yes")-$J11)/(_xlfn.MAXIFS($J$5:$J$60,$A$5:$A$60,$A11,$H$5:$H$60,"Yes")-_xlfn.MINIFS($J$5:$J$60,$A$5:$A$60,$A11,$H$5:$H$60,"Yes"))))</f>
        <v/>
      </c>
      <c r="R11" s="20" t="n">
        <f aca="false">IF($H11&lt;&gt;"Yes","",IFERROR(ROUND(100*(IF($N11="",0,Weights!$B$5*$N11)+IF($O11="",0,Weights!$B$6*$O11)+IF($P11="",0,Weights!$B$7*$P11)+IF($Q11="",0,Weights!$B$8*$Q11))/(IF($N11="",0,Weights!$B$5)+IF($O11="",0,Weights!$B$6)+IF($P11="",0,Weights!$B$7)+IF($Q11="",0,Weights!$B$8)),2),""))</f>
        <v>89.8</v>
      </c>
      <c r="S11" s="18" t="n">
        <f aca="false">IF($R11="","",COUNTIFS($A$5:$A$60,$A11,$R$5:$R$60,"&gt;"&amp;$R11)+1)</f>
        <v>1</v>
      </c>
      <c r="T11" s="18" t="n">
        <f aca="false">IF(OR($H11&lt;&gt;"Yes",$E11=""),"",COUNTIFS($A$5:$A$60,$A11,$H$5:$H$60,"Yes",$E$5:$E$60,"&lt;"&amp;$E11)+1)</f>
        <v>1</v>
      </c>
      <c r="U11" s="22" t="str">
        <f aca="false">IF($S11="","",$A11&amp;"|"&amp;$S11)</f>
        <v>3|1</v>
      </c>
      <c r="V11" s="22" t="str">
        <f aca="false">IF($T11="","",$A11&amp;"|"&amp;$T11)</f>
        <v>3|1</v>
      </c>
      <c r="W11" s="22" t="str">
        <f aca="false">IF($B11="","",$B11&amp;"|"&amp;$D11)</f>
        <v>Wired In-Ear Earphones with Mic|Amazon</v>
      </c>
    </row>
    <row r="12" customFormat="false" ht="15" hidden="false" customHeight="false" outlineLevel="0" collapsed="false">
      <c r="A12" s="17" t="n">
        <v>3</v>
      </c>
      <c r="B12" s="17" t="s">
        <v>59</v>
      </c>
      <c r="C12" s="17" t="s">
        <v>51</v>
      </c>
      <c r="D12" s="17" t="s">
        <v>18</v>
      </c>
      <c r="E12" s="23" t="n">
        <v>399</v>
      </c>
      <c r="F12" s="17" t="s">
        <v>60</v>
      </c>
      <c r="G12" s="24" t="n">
        <v>4.2</v>
      </c>
      <c r="H12" s="17" t="s">
        <v>53</v>
      </c>
      <c r="I12" s="25" t="n">
        <v>46310</v>
      </c>
      <c r="J12" s="17"/>
      <c r="K12" s="26" t="s">
        <v>54</v>
      </c>
      <c r="L12" s="26" t="s">
        <v>55</v>
      </c>
      <c r="M12" s="18" t="n">
        <f aca="false">IF($F12="","",IF(ISNUMBER(SEARCH("no warranty",$F12)),0,IF(ISNUMBER(SEARCH("year",$F12)),12*VALUE(LEFT($F12,FIND(" ",$F12)-1)),IF(ISNUMBER(SEARCH("month",$F12)),VALUE(LEFT($F12,FIND(" ",$F12)-1)),""))))</f>
        <v>12</v>
      </c>
      <c r="N12" s="20" t="n">
        <f aca="false">IF(OR($H12&lt;&gt;"Yes",$E12=""),"",IF(_xlfn.MAXIFS($E$5:$E$60,$A$5:$A$60,$A12,$H$5:$H$60,"Yes")=_xlfn.MINIFS($E$5:$E$60,$A$5:$A$60,$A12,$H$5:$H$60,"Yes"),1,(_xlfn.MAXIFS($E$5:$E$60,$A$5:$A$60,$A12,$H$5:$H$60,"Yes")-$E12)/(_xlfn.MAXIFS($E$5:$E$60,$A$5:$A$60,$A12,$H$5:$H$60,"Yes")-_xlfn.MINIFS($E$5:$E$60,$A$5:$A$60,$A12,$H$5:$H$60,"Yes"))))</f>
        <v>0</v>
      </c>
      <c r="O12" s="20" t="n">
        <f aca="false">IF(OR($H12&lt;&gt;"Yes",$G12=""),"",IF(Weights!$B$10="Relative",IF(_xlfn.MAXIFS($G$5:$G$60,$A$5:$A$60,$A12,$H$5:$H$60,"Yes")=_xlfn.MINIFS($G$5:$G$60,$A$5:$A$60,$A12,$H$5:$H$60,"Yes"),1,($G12-_xlfn.MINIFS($G$5:$G$60,$A$5:$A$60,$A12,$H$5:$H$60,"Yes"))/(_xlfn.MAXIFS($G$5:$G$60,$A$5:$A$60,$A12,$H$5:$H$60,"Yes")-_xlfn.MINIFS($G$5:$G$60,$A$5:$A$60,$A12,$H$5:$H$60,"Yes"))),$G12/5))</f>
        <v>0.84</v>
      </c>
      <c r="P12" s="20" t="n">
        <f aca="false">IF(OR($H12&lt;&gt;"Yes",$M12=""),"",IF(_xlfn.MAXIFS($M$5:$M$60,$A$5:$A$60,$A12,$H$5:$H$60,"Yes")=_xlfn.MINIFS($M$5:$M$60,$A$5:$A$60,$A12,$H$5:$H$60,"Yes"),1,($M12-_xlfn.MINIFS($M$5:$M$60,$A$5:$A$60,$A12,$H$5:$H$60,"Yes"))/(_xlfn.MAXIFS($M$5:$M$60,$A$5:$A$60,$A12,$H$5:$H$60,"Yes")-_xlfn.MINIFS($M$5:$M$60,$A$5:$A$60,$A12,$H$5:$H$60,"Yes"))))</f>
        <v>1</v>
      </c>
      <c r="Q12" s="20" t="str">
        <f aca="false">IF(OR($H12&lt;&gt;"Yes",$J12=""),"",IF(_xlfn.MAXIFS($J$5:$J$60,$A$5:$A$60,$A12,$H$5:$H$60,"Yes")=_xlfn.MINIFS($J$5:$J$60,$A$5:$A$60,$A12,$H$5:$H$60,"Yes"),1,(_xlfn.MAXIFS($J$5:$J$60,$A$5:$A$60,$A12,$H$5:$H$60,"Yes")-$J12)/(_xlfn.MAXIFS($J$5:$J$60,$A$5:$A$60,$A12,$H$5:$H$60,"Yes")-_xlfn.MINIFS($J$5:$J$60,$A$5:$A$60,$A12,$H$5:$H$60,"Yes"))))</f>
        <v/>
      </c>
      <c r="R12" s="20" t="n">
        <f aca="false">IF($H12&lt;&gt;"Yes","",IFERROR(ROUND(100*(IF($N12="",0,Weights!$B$5*$N12)+IF($O12="",0,Weights!$B$6*$O12)+IF($P12="",0,Weights!$B$7*$P12)+IF($Q12="",0,Weights!$B$8*$Q12))/(IF($N12="",0,Weights!$B$5)+IF($O12="",0,Weights!$B$6)+IF($P12="",0,Weights!$B$7)+IF($Q12="",0,Weights!$B$8)),2),""))</f>
        <v>45.2</v>
      </c>
      <c r="S12" s="18" t="n">
        <f aca="false">IF($R12="","",COUNTIFS($A$5:$A$60,$A12,$R$5:$R$60,"&gt;"&amp;$R12)+1)</f>
        <v>3</v>
      </c>
      <c r="T12" s="18" t="n">
        <f aca="false">IF(OR($H12&lt;&gt;"Yes",$E12=""),"",COUNTIFS($A$5:$A$60,$A12,$H$5:$H$60,"Yes",$E$5:$E$60,"&lt;"&amp;$E12)+1)</f>
        <v>3</v>
      </c>
      <c r="U12" s="22" t="str">
        <f aca="false">IF($S12="","",$A12&amp;"|"&amp;$S12)</f>
        <v>3|3</v>
      </c>
      <c r="V12" s="22" t="str">
        <f aca="false">IF($T12="","",$A12&amp;"|"&amp;$T12)</f>
        <v>3|3</v>
      </c>
      <c r="W12" s="22" t="str">
        <f aca="false">IF($B12="","",$B12&amp;"|"&amp;$D12)</f>
        <v>Wired In-Ear Earphones with Mic|Flipkart</v>
      </c>
    </row>
    <row r="13" customFormat="false" ht="15" hidden="false" customHeight="false" outlineLevel="0" collapsed="false">
      <c r="A13" s="17" t="n">
        <v>3</v>
      </c>
      <c r="B13" s="17" t="s">
        <v>59</v>
      </c>
      <c r="C13" s="17" t="s">
        <v>51</v>
      </c>
      <c r="D13" s="17" t="s">
        <v>19</v>
      </c>
      <c r="E13" s="23" t="n">
        <v>123</v>
      </c>
      <c r="F13" s="17" t="s">
        <v>58</v>
      </c>
      <c r="G13" s="24" t="n">
        <v>3.8</v>
      </c>
      <c r="H13" s="17" t="s">
        <v>53</v>
      </c>
      <c r="I13" s="25" t="n">
        <v>46310</v>
      </c>
      <c r="J13" s="17"/>
      <c r="K13" s="26" t="s">
        <v>54</v>
      </c>
      <c r="L13" s="26" t="s">
        <v>55</v>
      </c>
      <c r="M13" s="18" t="n">
        <f aca="false">IF($F13="","",IF(ISNUMBER(SEARCH("no warranty",$F13)),0,IF(ISNUMBER(SEARCH("year",$F13)),12*VALUE(LEFT($F13,FIND(" ",$F13)-1)),IF(ISNUMBER(SEARCH("month",$F13)),VALUE(LEFT($F13,FIND(" ",$F13)-1)),""))))</f>
        <v>1</v>
      </c>
      <c r="N13" s="20" t="n">
        <f aca="false">IF(OR($H13&lt;&gt;"Yes",$E13=""),"",IF(_xlfn.MAXIFS($E$5:$E$60,$A$5:$A$60,$A13,$H$5:$H$60,"Yes")=_xlfn.MINIFS($E$5:$E$60,$A$5:$A$60,$A13,$H$5:$H$60,"Yes"),1,(_xlfn.MAXIFS($E$5:$E$60,$A$5:$A$60,$A13,$H$5:$H$60,"Yes")-$E13)/(_xlfn.MAXIFS($E$5:$E$60,$A$5:$A$60,$A13,$H$5:$H$60,"Yes")-_xlfn.MINIFS($E$5:$E$60,$A$5:$A$60,$A13,$H$5:$H$60,"Yes"))))</f>
        <v>0.904918032786885</v>
      </c>
      <c r="O13" s="20" t="n">
        <f aca="false">IF(OR($H13&lt;&gt;"Yes",$G13=""),"",IF(Weights!$B$10="Relative",IF(_xlfn.MAXIFS($G$5:$G$60,$A$5:$A$60,$A13,$H$5:$H$60,"Yes")=_xlfn.MINIFS($G$5:$G$60,$A$5:$A$60,$A13,$H$5:$H$60,"Yes"),1,($G13-_xlfn.MINIFS($G$5:$G$60,$A$5:$A$60,$A13,$H$5:$H$60,"Yes"))/(_xlfn.MAXIFS($G$5:$G$60,$A$5:$A$60,$A13,$H$5:$H$60,"Yes")-_xlfn.MINIFS($G$5:$G$60,$A$5:$A$60,$A13,$H$5:$H$60,"Yes"))),$G13/5))</f>
        <v>0.76</v>
      </c>
      <c r="P13" s="20" t="n">
        <f aca="false">IF(OR($H13&lt;&gt;"Yes",$M13=""),"",IF(_xlfn.MAXIFS($M$5:$M$60,$A$5:$A$60,$A13,$H$5:$H$60,"Yes")=_xlfn.MINIFS($M$5:$M$60,$A$5:$A$60,$A13,$H$5:$H$60,"Yes"),1,($M13-_xlfn.MINIFS($M$5:$M$60,$A$5:$A$60,$A13,$H$5:$H$60,"Yes"))/(_xlfn.MAXIFS($M$5:$M$60,$A$5:$A$60,$A13,$H$5:$H$60,"Yes")-_xlfn.MINIFS($M$5:$M$60,$A$5:$A$60,$A13,$H$5:$H$60,"Yes"))))</f>
        <v>0</v>
      </c>
      <c r="Q13" s="20" t="str">
        <f aca="false">IF(OR($H13&lt;&gt;"Yes",$J13=""),"",IF(_xlfn.MAXIFS($J$5:$J$60,$A$5:$A$60,$A13,$H$5:$H$60,"Yes")=_xlfn.MINIFS($J$5:$J$60,$A$5:$A$60,$A13,$H$5:$H$60,"Yes"),1,(_xlfn.MAXIFS($J$5:$J$60,$A$5:$A$60,$A13,$H$5:$H$60,"Yes")-$J13)/(_xlfn.MAXIFS($J$5:$J$60,$A$5:$A$60,$A13,$H$5:$H$60,"Yes")-_xlfn.MINIFS($J$5:$J$60,$A$5:$A$60,$A13,$H$5:$H$60,"Yes"))))</f>
        <v/>
      </c>
      <c r="R13" s="20" t="n">
        <f aca="false">IF($H13&lt;&gt;"Yes","",IFERROR(ROUND(100*(IF($N13="",0,Weights!$B$5*$N13)+IF($O13="",0,Weights!$B$6*$O13)+IF($P13="",0,Weights!$B$7*$P13)+IF($Q13="",0,Weights!$B$8*$Q13))/(IF($N13="",0,Weights!$B$5)+IF($O13="",0,Weights!$B$6)+IF($P13="",0,Weights!$B$7)+IF($Q13="",0,Weights!$B$8)),2),""))</f>
        <v>68.05</v>
      </c>
      <c r="S13" s="18" t="n">
        <f aca="false">IF($R13="","",COUNTIFS($A$5:$A$60,$A13,$R$5:$R$60,"&gt;"&amp;$R13)+1)</f>
        <v>2</v>
      </c>
      <c r="T13" s="18" t="n">
        <f aca="false">IF(OR($H13&lt;&gt;"Yes",$E13=""),"",COUNTIFS($A$5:$A$60,$A13,$H$5:$H$60,"Yes",$E$5:$E$60,"&lt;"&amp;$E13)+1)</f>
        <v>2</v>
      </c>
      <c r="U13" s="22" t="str">
        <f aca="false">IF($S13="","",$A13&amp;"|"&amp;$S13)</f>
        <v>3|2</v>
      </c>
      <c r="V13" s="22" t="str">
        <f aca="false">IF($T13="","",$A13&amp;"|"&amp;$T13)</f>
        <v>3|2</v>
      </c>
      <c r="W13" s="22" t="str">
        <f aca="false">IF($B13="","",$B13&amp;"|"&amp;$D13)</f>
        <v>Wired In-Ear Earphones with Mic|Meesho</v>
      </c>
    </row>
    <row r="14" customFormat="false" ht="15" hidden="false" customHeight="false" outlineLevel="0" collapsed="false">
      <c r="A14" s="17" t="n">
        <v>4</v>
      </c>
      <c r="B14" s="17" t="s">
        <v>61</v>
      </c>
      <c r="C14" s="17" t="s">
        <v>62</v>
      </c>
      <c r="D14" s="17" t="s">
        <v>17</v>
      </c>
      <c r="E14" s="23" t="n">
        <v>853</v>
      </c>
      <c r="F14" s="17" t="s">
        <v>56</v>
      </c>
      <c r="G14" s="24" t="n">
        <v>4.2</v>
      </c>
      <c r="H14" s="17" t="s">
        <v>53</v>
      </c>
      <c r="I14" s="25" t="n">
        <v>46310</v>
      </c>
      <c r="J14" s="17"/>
      <c r="K14" s="26" t="s">
        <v>54</v>
      </c>
      <c r="L14" s="26" t="s">
        <v>55</v>
      </c>
      <c r="M14" s="18" t="n">
        <f aca="false">IF($F14="","",IF(ISNUMBER(SEARCH("no warranty",$F14)),0,IF(ISNUMBER(SEARCH("year",$F14)),12*VALUE(LEFT($F14,FIND(" ",$F14)-1)),IF(ISNUMBER(SEARCH("month",$F14)),VALUE(LEFT($F14,FIND(" ",$F14)-1)),""))))</f>
        <v>0</v>
      </c>
      <c r="N14" s="20" t="n">
        <f aca="false">IF(OR($H14&lt;&gt;"Yes",$E14=""),"",IF(_xlfn.MAXIFS($E$5:$E$60,$A$5:$A$60,$A14,$H$5:$H$60,"Yes")=_xlfn.MINIFS($E$5:$E$60,$A$5:$A$60,$A14,$H$5:$H$60,"Yes"),1,(_xlfn.MAXIFS($E$5:$E$60,$A$5:$A$60,$A14,$H$5:$H$60,"Yes")-$E14)/(_xlfn.MAXIFS($E$5:$E$60,$A$5:$A$60,$A14,$H$5:$H$60,"Yes")-_xlfn.MINIFS($E$5:$E$60,$A$5:$A$60,$A14,$H$5:$H$60,"Yes"))))</f>
        <v>0</v>
      </c>
      <c r="O14" s="20" t="n">
        <f aca="false">IF(OR($H14&lt;&gt;"Yes",$G14=""),"",IF(Weights!$B$10="Relative",IF(_xlfn.MAXIFS($G$5:$G$60,$A$5:$A$60,$A14,$H$5:$H$60,"Yes")=_xlfn.MINIFS($G$5:$G$60,$A$5:$A$60,$A14,$H$5:$H$60,"Yes"),1,($G14-_xlfn.MINIFS($G$5:$G$60,$A$5:$A$60,$A14,$H$5:$H$60,"Yes"))/(_xlfn.MAXIFS($G$5:$G$60,$A$5:$A$60,$A14,$H$5:$H$60,"Yes")-_xlfn.MINIFS($G$5:$G$60,$A$5:$A$60,$A14,$H$5:$H$60,"Yes"))),$G14/5))</f>
        <v>0.84</v>
      </c>
      <c r="P14" s="20" t="n">
        <f aca="false">IF(OR($H14&lt;&gt;"Yes",$M14=""),"",IF(_xlfn.MAXIFS($M$5:$M$60,$A$5:$A$60,$A14,$H$5:$H$60,"Yes")=_xlfn.MINIFS($M$5:$M$60,$A$5:$A$60,$A14,$H$5:$H$60,"Yes"),1,($M14-_xlfn.MINIFS($M$5:$M$60,$A$5:$A$60,$A14,$H$5:$H$60,"Yes"))/(_xlfn.MAXIFS($M$5:$M$60,$A$5:$A$60,$A14,$H$5:$H$60,"Yes")-_xlfn.MINIFS($M$5:$M$60,$A$5:$A$60,$A14,$H$5:$H$60,"Yes"))))</f>
        <v>1</v>
      </c>
      <c r="Q14" s="20" t="str">
        <f aca="false">IF(OR($H14&lt;&gt;"Yes",$J14=""),"",IF(_xlfn.MAXIFS($J$5:$J$60,$A$5:$A$60,$A14,$H$5:$H$60,"Yes")=_xlfn.MINIFS($J$5:$J$60,$A$5:$A$60,$A14,$H$5:$H$60,"Yes"),1,(_xlfn.MAXIFS($J$5:$J$60,$A$5:$A$60,$A14,$H$5:$H$60,"Yes")-$J14)/(_xlfn.MAXIFS($J$5:$J$60,$A$5:$A$60,$A14,$H$5:$H$60,"Yes")-_xlfn.MINIFS($J$5:$J$60,$A$5:$A$60,$A14,$H$5:$H$60,"Yes"))))</f>
        <v/>
      </c>
      <c r="R14" s="20" t="n">
        <f aca="false">IF($H14&lt;&gt;"Yes","",IFERROR(ROUND(100*(IF($N14="",0,Weights!$B$5*$N14)+IF($O14="",0,Weights!$B$6*$O14)+IF($P14="",0,Weights!$B$7*$P14)+IF($Q14="",0,Weights!$B$8*$Q14))/(IF($N14="",0,Weights!$B$5)+IF($O14="",0,Weights!$B$6)+IF($P14="",0,Weights!$B$7)+IF($Q14="",0,Weights!$B$8)),2),""))</f>
        <v>45.2</v>
      </c>
      <c r="S14" s="18" t="n">
        <f aca="false">IF($R14="","",COUNTIFS($A$5:$A$60,$A14,$R$5:$R$60,"&gt;"&amp;$R14)+1)</f>
        <v>3</v>
      </c>
      <c r="T14" s="18" t="n">
        <f aca="false">IF(OR($H14&lt;&gt;"Yes",$E14=""),"",COUNTIFS($A$5:$A$60,$A14,$H$5:$H$60,"Yes",$E$5:$E$60,"&lt;"&amp;$E14)+1)</f>
        <v>3</v>
      </c>
      <c r="U14" s="22" t="str">
        <f aca="false">IF($S14="","",$A14&amp;"|"&amp;$S14)</f>
        <v>4|3</v>
      </c>
      <c r="V14" s="22" t="str">
        <f aca="false">IF($T14="","",$A14&amp;"|"&amp;$T14)</f>
        <v>4|3</v>
      </c>
      <c r="W14" s="22" t="str">
        <f aca="false">IF($B14="","",$B14&amp;"|"&amp;$D14)</f>
        <v>Women's Cotton Churidar Set|Amazon</v>
      </c>
    </row>
    <row r="15" customFormat="false" ht="15" hidden="false" customHeight="false" outlineLevel="0" collapsed="false">
      <c r="A15" s="17" t="n">
        <v>4</v>
      </c>
      <c r="B15" s="17" t="s">
        <v>61</v>
      </c>
      <c r="C15" s="17" t="s">
        <v>62</v>
      </c>
      <c r="D15" s="17" t="s">
        <v>18</v>
      </c>
      <c r="E15" s="23" t="n">
        <v>410</v>
      </c>
      <c r="F15" s="17" t="s">
        <v>56</v>
      </c>
      <c r="G15" s="24" t="n">
        <v>4</v>
      </c>
      <c r="H15" s="17" t="s">
        <v>53</v>
      </c>
      <c r="I15" s="25" t="n">
        <v>46310</v>
      </c>
      <c r="J15" s="17"/>
      <c r="K15" s="26" t="s">
        <v>54</v>
      </c>
      <c r="L15" s="17"/>
      <c r="M15" s="18" t="n">
        <f aca="false">IF($F15="","",IF(ISNUMBER(SEARCH("no warranty",$F15)),0,IF(ISNUMBER(SEARCH("year",$F15)),12*VALUE(LEFT($F15,FIND(" ",$F15)-1)),IF(ISNUMBER(SEARCH("month",$F15)),VALUE(LEFT($F15,FIND(" ",$F15)-1)),""))))</f>
        <v>0</v>
      </c>
      <c r="N15" s="20" t="n">
        <f aca="false">IF(OR($H15&lt;&gt;"Yes",$E15=""),"",IF(_xlfn.MAXIFS($E$5:$E$60,$A$5:$A$60,$A15,$H$5:$H$60,"Yes")=_xlfn.MINIFS($E$5:$E$60,$A$5:$A$60,$A15,$H$5:$H$60,"Yes"),1,(_xlfn.MAXIFS($E$5:$E$60,$A$5:$A$60,$A15,$H$5:$H$60,"Yes")-$E15)/(_xlfn.MAXIFS($E$5:$E$60,$A$5:$A$60,$A15,$H$5:$H$60,"Yes")-_xlfn.MINIFS($E$5:$E$60,$A$5:$A$60,$A15,$H$5:$H$60,"Yes"))))</f>
        <v>0.928721174004193</v>
      </c>
      <c r="O15" s="20" t="n">
        <f aca="false">IF(OR($H15&lt;&gt;"Yes",$G15=""),"",IF(Weights!$B$10="Relative",IF(_xlfn.MAXIFS($G$5:$G$60,$A$5:$A$60,$A15,$H$5:$H$60,"Yes")=_xlfn.MINIFS($G$5:$G$60,$A$5:$A$60,$A15,$H$5:$H$60,"Yes"),1,($G15-_xlfn.MINIFS($G$5:$G$60,$A$5:$A$60,$A15,$H$5:$H$60,"Yes"))/(_xlfn.MAXIFS($G$5:$G$60,$A$5:$A$60,$A15,$H$5:$H$60,"Yes")-_xlfn.MINIFS($G$5:$G$60,$A$5:$A$60,$A15,$H$5:$H$60,"Yes"))),$G15/5))</f>
        <v>0.8</v>
      </c>
      <c r="P15" s="20" t="n">
        <f aca="false">IF(OR($H15&lt;&gt;"Yes",$M15=""),"",IF(_xlfn.MAXIFS($M$5:$M$60,$A$5:$A$60,$A15,$H$5:$H$60,"Yes")=_xlfn.MINIFS($M$5:$M$60,$A$5:$A$60,$A15,$H$5:$H$60,"Yes"),1,($M15-_xlfn.MINIFS($M$5:$M$60,$A$5:$A$60,$A15,$H$5:$H$60,"Yes"))/(_xlfn.MAXIFS($M$5:$M$60,$A$5:$A$60,$A15,$H$5:$H$60,"Yes")-_xlfn.MINIFS($M$5:$M$60,$A$5:$A$60,$A15,$H$5:$H$60,"Yes"))))</f>
        <v>1</v>
      </c>
      <c r="Q15" s="20" t="str">
        <f aca="false">IF(OR($H15&lt;&gt;"Yes",$J15=""),"",IF(_xlfn.MAXIFS($J$5:$J$60,$A$5:$A$60,$A15,$H$5:$H$60,"Yes")=_xlfn.MINIFS($J$5:$J$60,$A$5:$A$60,$A15,$H$5:$H$60,"Yes"),1,(_xlfn.MAXIFS($J$5:$J$60,$A$5:$A$60,$A15,$H$5:$H$60,"Yes")-$J15)/(_xlfn.MAXIFS($J$5:$J$60,$A$5:$A$60,$A15,$H$5:$H$60,"Yes")-_xlfn.MINIFS($J$5:$J$60,$A$5:$A$60,$A15,$H$5:$H$60,"Yes"))))</f>
        <v/>
      </c>
      <c r="R15" s="20" t="n">
        <f aca="false">IF($H15&lt;&gt;"Yes","",IFERROR(ROUND(100*(IF($N15="",0,Weights!$B$5*$N15)+IF($O15="",0,Weights!$B$6*$O15)+IF($P15="",0,Weights!$B$7*$P15)+IF($Q15="",0,Weights!$B$8*$Q15))/(IF($N15="",0,Weights!$B$5)+IF($O15="",0,Weights!$B$6)+IF($P15="",0,Weights!$B$7)+IF($Q15="",0,Weights!$B$8)),2),""))</f>
        <v>90.44</v>
      </c>
      <c r="S15" s="18" t="n">
        <f aca="false">IF($R15="","",COUNTIFS($A$5:$A$60,$A15,$R$5:$R$60,"&gt;"&amp;$R15)+1)</f>
        <v>2</v>
      </c>
      <c r="T15" s="18" t="n">
        <f aca="false">IF(OR($H15&lt;&gt;"Yes",$E15=""),"",COUNTIFS($A$5:$A$60,$A15,$H$5:$H$60,"Yes",$E$5:$E$60,"&lt;"&amp;$E15)+1)</f>
        <v>2</v>
      </c>
      <c r="U15" s="22" t="str">
        <f aca="false">IF($S15="","",$A15&amp;"|"&amp;$S15)</f>
        <v>4|2</v>
      </c>
      <c r="V15" s="22" t="str">
        <f aca="false">IF($T15="","",$A15&amp;"|"&amp;$T15)</f>
        <v>4|2</v>
      </c>
      <c r="W15" s="22" t="str">
        <f aca="false">IF($B15="","",$B15&amp;"|"&amp;$D15)</f>
        <v>Women's Cotton Churidar Set|Flipkart</v>
      </c>
    </row>
    <row r="16" customFormat="false" ht="15" hidden="false" customHeight="false" outlineLevel="0" collapsed="false">
      <c r="A16" s="17" t="n">
        <v>4</v>
      </c>
      <c r="B16" s="17" t="s">
        <v>61</v>
      </c>
      <c r="C16" s="17" t="s">
        <v>62</v>
      </c>
      <c r="D16" s="17" t="s">
        <v>19</v>
      </c>
      <c r="E16" s="23" t="n">
        <v>376</v>
      </c>
      <c r="F16" s="17" t="s">
        <v>56</v>
      </c>
      <c r="G16" s="24" t="n">
        <v>4.5</v>
      </c>
      <c r="H16" s="17" t="s">
        <v>53</v>
      </c>
      <c r="I16" s="25" t="n">
        <v>46310</v>
      </c>
      <c r="J16" s="17"/>
      <c r="K16" s="26" t="s">
        <v>54</v>
      </c>
      <c r="L16" s="26" t="s">
        <v>55</v>
      </c>
      <c r="M16" s="18" t="n">
        <f aca="false">IF($F16="","",IF(ISNUMBER(SEARCH("no warranty",$F16)),0,IF(ISNUMBER(SEARCH("year",$F16)),12*VALUE(LEFT($F16,FIND(" ",$F16)-1)),IF(ISNUMBER(SEARCH("month",$F16)),VALUE(LEFT($F16,FIND(" ",$F16)-1)),""))))</f>
        <v>0</v>
      </c>
      <c r="N16" s="20" t="n">
        <f aca="false">IF(OR($H16&lt;&gt;"Yes",$E16=""),"",IF(_xlfn.MAXIFS($E$5:$E$60,$A$5:$A$60,$A16,$H$5:$H$60,"Yes")=_xlfn.MINIFS($E$5:$E$60,$A$5:$A$60,$A16,$H$5:$H$60,"Yes"),1,(_xlfn.MAXIFS($E$5:$E$60,$A$5:$A$60,$A16,$H$5:$H$60,"Yes")-$E16)/(_xlfn.MAXIFS($E$5:$E$60,$A$5:$A$60,$A16,$H$5:$H$60,"Yes")-_xlfn.MINIFS($E$5:$E$60,$A$5:$A$60,$A16,$H$5:$H$60,"Yes"))))</f>
        <v>1</v>
      </c>
      <c r="O16" s="20" t="n">
        <f aca="false">IF(OR($H16&lt;&gt;"Yes",$G16=""),"",IF(Weights!$B$10="Relative",IF(_xlfn.MAXIFS($G$5:$G$60,$A$5:$A$60,$A16,$H$5:$H$60,"Yes")=_xlfn.MINIFS($G$5:$G$60,$A$5:$A$60,$A16,$H$5:$H$60,"Yes"),1,($G16-_xlfn.MINIFS($G$5:$G$60,$A$5:$A$60,$A16,$H$5:$H$60,"Yes"))/(_xlfn.MAXIFS($G$5:$G$60,$A$5:$A$60,$A16,$H$5:$H$60,"Yes")-_xlfn.MINIFS($G$5:$G$60,$A$5:$A$60,$A16,$H$5:$H$60,"Yes"))),$G16/5))</f>
        <v>0.9</v>
      </c>
      <c r="P16" s="20" t="n">
        <f aca="false">IF(OR($H16&lt;&gt;"Yes",$M16=""),"",IF(_xlfn.MAXIFS($M$5:$M$60,$A$5:$A$60,$A16,$H$5:$H$60,"Yes")=_xlfn.MINIFS($M$5:$M$60,$A$5:$A$60,$A16,$H$5:$H$60,"Yes"),1,($M16-_xlfn.MINIFS($M$5:$M$60,$A$5:$A$60,$A16,$H$5:$H$60,"Yes"))/(_xlfn.MAXIFS($M$5:$M$60,$A$5:$A$60,$A16,$H$5:$H$60,"Yes")-_xlfn.MINIFS($M$5:$M$60,$A$5:$A$60,$A16,$H$5:$H$60,"Yes"))))</f>
        <v>1</v>
      </c>
      <c r="Q16" s="20" t="str">
        <f aca="false">IF(OR($H16&lt;&gt;"Yes",$J16=""),"",IF(_xlfn.MAXIFS($J$5:$J$60,$A$5:$A$60,$A16,$H$5:$H$60,"Yes")=_xlfn.MINIFS($J$5:$J$60,$A$5:$A$60,$A16,$H$5:$H$60,"Yes"),1,(_xlfn.MAXIFS($J$5:$J$60,$A$5:$A$60,$A16,$H$5:$H$60,"Yes")-$J16)/(_xlfn.MAXIFS($J$5:$J$60,$A$5:$A$60,$A16,$H$5:$H$60,"Yes")-_xlfn.MINIFS($J$5:$J$60,$A$5:$A$60,$A16,$H$5:$H$60,"Yes"))))</f>
        <v/>
      </c>
      <c r="R16" s="20" t="n">
        <f aca="false">IF($H16&lt;&gt;"Yes","",IFERROR(ROUND(100*(IF($N16="",0,Weights!$B$5*$N16)+IF($O16="",0,Weights!$B$6*$O16)+IF($P16="",0,Weights!$B$7*$P16)+IF($Q16="",0,Weights!$B$8*$Q16))/(IF($N16="",0,Weights!$B$5)+IF($O16="",0,Weights!$B$6)+IF($P16="",0,Weights!$B$7)+IF($Q16="",0,Weights!$B$8)),2),""))</f>
        <v>97</v>
      </c>
      <c r="S16" s="18" t="n">
        <f aca="false">IF($R16="","",COUNTIFS($A$5:$A$60,$A16,$R$5:$R$60,"&gt;"&amp;$R16)+1)</f>
        <v>1</v>
      </c>
      <c r="T16" s="18" t="n">
        <f aca="false">IF(OR($H16&lt;&gt;"Yes",$E16=""),"",COUNTIFS($A$5:$A$60,$A16,$H$5:$H$60,"Yes",$E$5:$E$60,"&lt;"&amp;$E16)+1)</f>
        <v>1</v>
      </c>
      <c r="U16" s="22" t="str">
        <f aca="false">IF($S16="","",$A16&amp;"|"&amp;$S16)</f>
        <v>4|1</v>
      </c>
      <c r="V16" s="22" t="str">
        <f aca="false">IF($T16="","",$A16&amp;"|"&amp;$T16)</f>
        <v>4|1</v>
      </c>
      <c r="W16" s="22" t="str">
        <f aca="false">IF($B16="","",$B16&amp;"|"&amp;$D16)</f>
        <v>Women's Cotton Churidar Set|Meesho</v>
      </c>
    </row>
    <row r="17" customFormat="false" ht="15" hidden="false" customHeight="false" outlineLevel="0" collapsed="false">
      <c r="A17" s="17" t="n">
        <v>5</v>
      </c>
      <c r="B17" s="17" t="s">
        <v>63</v>
      </c>
      <c r="C17" s="17" t="s">
        <v>62</v>
      </c>
      <c r="D17" s="17" t="s">
        <v>17</v>
      </c>
      <c r="E17" s="23" t="n">
        <v>659</v>
      </c>
      <c r="F17" s="17" t="s">
        <v>56</v>
      </c>
      <c r="G17" s="24" t="n">
        <v>3.6</v>
      </c>
      <c r="H17" s="17" t="s">
        <v>53</v>
      </c>
      <c r="I17" s="25" t="n">
        <v>46310</v>
      </c>
      <c r="J17" s="17"/>
      <c r="K17" s="26" t="s">
        <v>54</v>
      </c>
      <c r="L17" s="26" t="s">
        <v>55</v>
      </c>
      <c r="M17" s="18" t="n">
        <f aca="false">IF($F17="","",IF(ISNUMBER(SEARCH("no warranty",$F17)),0,IF(ISNUMBER(SEARCH("year",$F17)),12*VALUE(LEFT($F17,FIND(" ",$F17)-1)),IF(ISNUMBER(SEARCH("month",$F17)),VALUE(LEFT($F17,FIND(" ",$F17)-1)),""))))</f>
        <v>0</v>
      </c>
      <c r="N17" s="20" t="n">
        <f aca="false">IF(OR($H17&lt;&gt;"Yes",$E17=""),"",IF(_xlfn.MAXIFS($E$5:$E$60,$A$5:$A$60,$A17,$H$5:$H$60,"Yes")=_xlfn.MINIFS($E$5:$E$60,$A$5:$A$60,$A17,$H$5:$H$60,"Yes"),1,(_xlfn.MAXIFS($E$5:$E$60,$A$5:$A$60,$A17,$H$5:$H$60,"Yes")-$E17)/(_xlfn.MAXIFS($E$5:$E$60,$A$5:$A$60,$A17,$H$5:$H$60,"Yes")-_xlfn.MINIFS($E$5:$E$60,$A$5:$A$60,$A17,$H$5:$H$60,"Yes"))))</f>
        <v>0</v>
      </c>
      <c r="O17" s="20" t="n">
        <f aca="false">IF(OR($H17&lt;&gt;"Yes",$G17=""),"",IF(Weights!$B$10="Relative",IF(_xlfn.MAXIFS($G$5:$G$60,$A$5:$A$60,$A17,$H$5:$H$60,"Yes")=_xlfn.MINIFS($G$5:$G$60,$A$5:$A$60,$A17,$H$5:$H$60,"Yes"),1,($G17-_xlfn.MINIFS($G$5:$G$60,$A$5:$A$60,$A17,$H$5:$H$60,"Yes"))/(_xlfn.MAXIFS($G$5:$G$60,$A$5:$A$60,$A17,$H$5:$H$60,"Yes")-_xlfn.MINIFS($G$5:$G$60,$A$5:$A$60,$A17,$H$5:$H$60,"Yes"))),$G17/5))</f>
        <v>0.72</v>
      </c>
      <c r="P17" s="20" t="n">
        <f aca="false">IF(OR($H17&lt;&gt;"Yes",$M17=""),"",IF(_xlfn.MAXIFS($M$5:$M$60,$A$5:$A$60,$A17,$H$5:$H$60,"Yes")=_xlfn.MINIFS($M$5:$M$60,$A$5:$A$60,$A17,$H$5:$H$60,"Yes"),1,($M17-_xlfn.MINIFS($M$5:$M$60,$A$5:$A$60,$A17,$H$5:$H$60,"Yes"))/(_xlfn.MAXIFS($M$5:$M$60,$A$5:$A$60,$A17,$H$5:$H$60,"Yes")-_xlfn.MINIFS($M$5:$M$60,$A$5:$A$60,$A17,$H$5:$H$60,"Yes"))))</f>
        <v>1</v>
      </c>
      <c r="Q17" s="20" t="str">
        <f aca="false">IF(OR($H17&lt;&gt;"Yes",$J17=""),"",IF(_xlfn.MAXIFS($J$5:$J$60,$A$5:$A$60,$A17,$H$5:$H$60,"Yes")=_xlfn.MINIFS($J$5:$J$60,$A$5:$A$60,$A17,$H$5:$H$60,"Yes"),1,(_xlfn.MAXIFS($J$5:$J$60,$A$5:$A$60,$A17,$H$5:$H$60,"Yes")-$J17)/(_xlfn.MAXIFS($J$5:$J$60,$A$5:$A$60,$A17,$H$5:$H$60,"Yes")-_xlfn.MINIFS($J$5:$J$60,$A$5:$A$60,$A17,$H$5:$H$60,"Yes"))))</f>
        <v/>
      </c>
      <c r="R17" s="20" t="n">
        <f aca="false">IF($H17&lt;&gt;"Yes","",IFERROR(ROUND(100*(IF($N17="",0,Weights!$B$5*$N17)+IF($O17="",0,Weights!$B$6*$O17)+IF($P17="",0,Weights!$B$7*$P17)+IF($Q17="",0,Weights!$B$8*$Q17))/(IF($N17="",0,Weights!$B$5)+IF($O17="",0,Weights!$B$6)+IF($P17="",0,Weights!$B$7)+IF($Q17="",0,Weights!$B$8)),2),""))</f>
        <v>41.6</v>
      </c>
      <c r="S17" s="18" t="n">
        <f aca="false">IF($R17="","",COUNTIFS($A$5:$A$60,$A17,$R$5:$R$60,"&gt;"&amp;$R17)+1)</f>
        <v>3</v>
      </c>
      <c r="T17" s="18" t="n">
        <f aca="false">IF(OR($H17&lt;&gt;"Yes",$E17=""),"",COUNTIFS($A$5:$A$60,$A17,$H$5:$H$60,"Yes",$E$5:$E$60,"&lt;"&amp;$E17)+1)</f>
        <v>3</v>
      </c>
      <c r="U17" s="22" t="str">
        <f aca="false">IF($S17="","",$A17&amp;"|"&amp;$S17)</f>
        <v>5|3</v>
      </c>
      <c r="V17" s="22" t="str">
        <f aca="false">IF($T17="","",$A17&amp;"|"&amp;$T17)</f>
        <v>5|3</v>
      </c>
      <c r="W17" s="22" t="str">
        <f aca="false">IF($B17="","",$B17&amp;"|"&amp;$D17)</f>
        <v>Girls Cotton Party Frock|Amazon</v>
      </c>
    </row>
    <row r="18" customFormat="false" ht="15" hidden="false" customHeight="false" outlineLevel="0" collapsed="false">
      <c r="A18" s="17" t="n">
        <v>5</v>
      </c>
      <c r="B18" s="17" t="s">
        <v>63</v>
      </c>
      <c r="C18" s="17" t="s">
        <v>62</v>
      </c>
      <c r="D18" s="17" t="s">
        <v>18</v>
      </c>
      <c r="E18" s="23" t="n">
        <v>314</v>
      </c>
      <c r="F18" s="17" t="s">
        <v>56</v>
      </c>
      <c r="G18" s="24" t="n">
        <v>3.9</v>
      </c>
      <c r="H18" s="17" t="s">
        <v>53</v>
      </c>
      <c r="I18" s="25" t="n">
        <v>46310</v>
      </c>
      <c r="J18" s="17"/>
      <c r="K18" s="26" t="s">
        <v>54</v>
      </c>
      <c r="L18" s="26" t="s">
        <v>55</v>
      </c>
      <c r="M18" s="18" t="n">
        <f aca="false">IF($F18="","",IF(ISNUMBER(SEARCH("no warranty",$F18)),0,IF(ISNUMBER(SEARCH("year",$F18)),12*VALUE(LEFT($F18,FIND(" ",$F18)-1)),IF(ISNUMBER(SEARCH("month",$F18)),VALUE(LEFT($F18,FIND(" ",$F18)-1)),""))))</f>
        <v>0</v>
      </c>
      <c r="N18" s="20" t="n">
        <f aca="false">IF(OR($H18&lt;&gt;"Yes",$E18=""),"",IF(_xlfn.MAXIFS($E$5:$E$60,$A$5:$A$60,$A18,$H$5:$H$60,"Yes")=_xlfn.MINIFS($E$5:$E$60,$A$5:$A$60,$A18,$H$5:$H$60,"Yes"),1,(_xlfn.MAXIFS($E$5:$E$60,$A$5:$A$60,$A18,$H$5:$H$60,"Yes")-$E18)/(_xlfn.MAXIFS($E$5:$E$60,$A$5:$A$60,$A18,$H$5:$H$60,"Yes")-_xlfn.MINIFS($E$5:$E$60,$A$5:$A$60,$A18,$H$5:$H$60,"Yes"))))</f>
        <v>0.837378640776699</v>
      </c>
      <c r="O18" s="20" t="n">
        <f aca="false">IF(OR($H18&lt;&gt;"Yes",$G18=""),"",IF(Weights!$B$10="Relative",IF(_xlfn.MAXIFS($G$5:$G$60,$A$5:$A$60,$A18,$H$5:$H$60,"Yes")=_xlfn.MINIFS($G$5:$G$60,$A$5:$A$60,$A18,$H$5:$H$60,"Yes"),1,($G18-_xlfn.MINIFS($G$5:$G$60,$A$5:$A$60,$A18,$H$5:$H$60,"Yes"))/(_xlfn.MAXIFS($G$5:$G$60,$A$5:$A$60,$A18,$H$5:$H$60,"Yes")-_xlfn.MINIFS($G$5:$G$60,$A$5:$A$60,$A18,$H$5:$H$60,"Yes"))),$G18/5))</f>
        <v>0.78</v>
      </c>
      <c r="P18" s="20" t="n">
        <f aca="false">IF(OR($H18&lt;&gt;"Yes",$M18=""),"",IF(_xlfn.MAXIFS($M$5:$M$60,$A$5:$A$60,$A18,$H$5:$H$60,"Yes")=_xlfn.MINIFS($M$5:$M$60,$A$5:$A$60,$A18,$H$5:$H$60,"Yes"),1,($M18-_xlfn.MINIFS($M$5:$M$60,$A$5:$A$60,$A18,$H$5:$H$60,"Yes"))/(_xlfn.MAXIFS($M$5:$M$60,$A$5:$A$60,$A18,$H$5:$H$60,"Yes")-_xlfn.MINIFS($M$5:$M$60,$A$5:$A$60,$A18,$H$5:$H$60,"Yes"))))</f>
        <v>1</v>
      </c>
      <c r="Q18" s="20" t="str">
        <f aca="false">IF(OR($H18&lt;&gt;"Yes",$J18=""),"",IF(_xlfn.MAXIFS($J$5:$J$60,$A$5:$A$60,$A18,$H$5:$H$60,"Yes")=_xlfn.MINIFS($J$5:$J$60,$A$5:$A$60,$A18,$H$5:$H$60,"Yes"),1,(_xlfn.MAXIFS($J$5:$J$60,$A$5:$A$60,$A18,$H$5:$H$60,"Yes")-$J18)/(_xlfn.MAXIFS($J$5:$J$60,$A$5:$A$60,$A18,$H$5:$H$60,"Yes")-_xlfn.MINIFS($J$5:$J$60,$A$5:$A$60,$A18,$H$5:$H$60,"Yes"))))</f>
        <v/>
      </c>
      <c r="R18" s="20" t="n">
        <f aca="false">IF($H18&lt;&gt;"Yes","",IFERROR(ROUND(100*(IF($N18="",0,Weights!$B$5*$N18)+IF($O18="",0,Weights!$B$6*$O18)+IF($P18="",0,Weights!$B$7*$P18)+IF($Q18="",0,Weights!$B$8*$Q18))/(IF($N18="",0,Weights!$B$5)+IF($O18="",0,Weights!$B$6)+IF($P18="",0,Weights!$B$7)+IF($Q18="",0,Weights!$B$8)),2),""))</f>
        <v>85.27</v>
      </c>
      <c r="S18" s="18" t="n">
        <f aca="false">IF($R18="","",COUNTIFS($A$5:$A$60,$A18,$R$5:$R$60,"&gt;"&amp;$R18)+1)</f>
        <v>2</v>
      </c>
      <c r="T18" s="18" t="n">
        <f aca="false">IF(OR($H18&lt;&gt;"Yes",$E18=""),"",COUNTIFS($A$5:$A$60,$A18,$H$5:$H$60,"Yes",$E$5:$E$60,"&lt;"&amp;$E18)+1)</f>
        <v>2</v>
      </c>
      <c r="U18" s="22" t="str">
        <f aca="false">IF($S18="","",$A18&amp;"|"&amp;$S18)</f>
        <v>5|2</v>
      </c>
      <c r="V18" s="22" t="str">
        <f aca="false">IF($T18="","",$A18&amp;"|"&amp;$T18)</f>
        <v>5|2</v>
      </c>
      <c r="W18" s="22" t="str">
        <f aca="false">IF($B18="","",$B18&amp;"|"&amp;$D18)</f>
        <v>Girls Cotton Party Frock|Flipkart</v>
      </c>
    </row>
    <row r="19" customFormat="false" ht="15" hidden="false" customHeight="false" outlineLevel="0" collapsed="false">
      <c r="A19" s="17" t="n">
        <v>5</v>
      </c>
      <c r="B19" s="17" t="s">
        <v>63</v>
      </c>
      <c r="C19" s="17" t="s">
        <v>62</v>
      </c>
      <c r="D19" s="17" t="s">
        <v>19</v>
      </c>
      <c r="E19" s="23" t="n">
        <v>247</v>
      </c>
      <c r="F19" s="17" t="s">
        <v>56</v>
      </c>
      <c r="G19" s="24" t="n">
        <v>4.5</v>
      </c>
      <c r="H19" s="17" t="s">
        <v>53</v>
      </c>
      <c r="I19" s="25" t="n">
        <v>46310</v>
      </c>
      <c r="J19" s="17"/>
      <c r="K19" s="26" t="s">
        <v>54</v>
      </c>
      <c r="L19" s="26" t="s">
        <v>55</v>
      </c>
      <c r="M19" s="18" t="n">
        <f aca="false">IF($F19="","",IF(ISNUMBER(SEARCH("no warranty",$F19)),0,IF(ISNUMBER(SEARCH("year",$F19)),12*VALUE(LEFT($F19,FIND(" ",$F19)-1)),IF(ISNUMBER(SEARCH("month",$F19)),VALUE(LEFT($F19,FIND(" ",$F19)-1)),""))))</f>
        <v>0</v>
      </c>
      <c r="N19" s="20" t="n">
        <f aca="false">IF(OR($H19&lt;&gt;"Yes",$E19=""),"",IF(_xlfn.MAXIFS($E$5:$E$60,$A$5:$A$60,$A19,$H$5:$H$60,"Yes")=_xlfn.MINIFS($E$5:$E$60,$A$5:$A$60,$A19,$H$5:$H$60,"Yes"),1,(_xlfn.MAXIFS($E$5:$E$60,$A$5:$A$60,$A19,$H$5:$H$60,"Yes")-$E19)/(_xlfn.MAXIFS($E$5:$E$60,$A$5:$A$60,$A19,$H$5:$H$60,"Yes")-_xlfn.MINIFS($E$5:$E$60,$A$5:$A$60,$A19,$H$5:$H$60,"Yes"))))</f>
        <v>1</v>
      </c>
      <c r="O19" s="20" t="n">
        <f aca="false">IF(OR($H19&lt;&gt;"Yes",$G19=""),"",IF(Weights!$B$10="Relative",IF(_xlfn.MAXIFS($G$5:$G$60,$A$5:$A$60,$A19,$H$5:$H$60,"Yes")=_xlfn.MINIFS($G$5:$G$60,$A$5:$A$60,$A19,$H$5:$H$60,"Yes"),1,($G19-_xlfn.MINIFS($G$5:$G$60,$A$5:$A$60,$A19,$H$5:$H$60,"Yes"))/(_xlfn.MAXIFS($G$5:$G$60,$A$5:$A$60,$A19,$H$5:$H$60,"Yes")-_xlfn.MINIFS($G$5:$G$60,$A$5:$A$60,$A19,$H$5:$H$60,"Yes"))),$G19/5))</f>
        <v>0.9</v>
      </c>
      <c r="P19" s="20" t="n">
        <f aca="false">IF(OR($H19&lt;&gt;"Yes",$M19=""),"",IF(_xlfn.MAXIFS($M$5:$M$60,$A$5:$A$60,$A19,$H$5:$H$60,"Yes")=_xlfn.MINIFS($M$5:$M$60,$A$5:$A$60,$A19,$H$5:$H$60,"Yes"),1,($M19-_xlfn.MINIFS($M$5:$M$60,$A$5:$A$60,$A19,$H$5:$H$60,"Yes"))/(_xlfn.MAXIFS($M$5:$M$60,$A$5:$A$60,$A19,$H$5:$H$60,"Yes")-_xlfn.MINIFS($M$5:$M$60,$A$5:$A$60,$A19,$H$5:$H$60,"Yes"))))</f>
        <v>1</v>
      </c>
      <c r="Q19" s="20" t="str">
        <f aca="false">IF(OR($H19&lt;&gt;"Yes",$J19=""),"",IF(_xlfn.MAXIFS($J$5:$J$60,$A$5:$A$60,$A19,$H$5:$H$60,"Yes")=_xlfn.MINIFS($J$5:$J$60,$A$5:$A$60,$A19,$H$5:$H$60,"Yes"),1,(_xlfn.MAXIFS($J$5:$J$60,$A$5:$A$60,$A19,$H$5:$H$60,"Yes")-$J19)/(_xlfn.MAXIFS($J$5:$J$60,$A$5:$A$60,$A19,$H$5:$H$60,"Yes")-_xlfn.MINIFS($J$5:$J$60,$A$5:$A$60,$A19,$H$5:$H$60,"Yes"))))</f>
        <v/>
      </c>
      <c r="R19" s="20" t="n">
        <f aca="false">IF($H19&lt;&gt;"Yes","",IFERROR(ROUND(100*(IF($N19="",0,Weights!$B$5*$N19)+IF($O19="",0,Weights!$B$6*$O19)+IF($P19="",0,Weights!$B$7*$P19)+IF($Q19="",0,Weights!$B$8*$Q19))/(IF($N19="",0,Weights!$B$5)+IF($O19="",0,Weights!$B$6)+IF($P19="",0,Weights!$B$7)+IF($Q19="",0,Weights!$B$8)),2),""))</f>
        <v>97</v>
      </c>
      <c r="S19" s="18" t="n">
        <f aca="false">IF($R19="","",COUNTIFS($A$5:$A$60,$A19,$R$5:$R$60,"&gt;"&amp;$R19)+1)</f>
        <v>1</v>
      </c>
      <c r="T19" s="18" t="n">
        <f aca="false">IF(OR($H19&lt;&gt;"Yes",$E19=""),"",COUNTIFS($A$5:$A$60,$A19,$H$5:$H$60,"Yes",$E$5:$E$60,"&lt;"&amp;$E19)+1)</f>
        <v>1</v>
      </c>
      <c r="U19" s="22" t="str">
        <f aca="false">IF($S19="","",$A19&amp;"|"&amp;$S19)</f>
        <v>5|1</v>
      </c>
      <c r="V19" s="22" t="str">
        <f aca="false">IF($T19="","",$A19&amp;"|"&amp;$T19)</f>
        <v>5|1</v>
      </c>
      <c r="W19" s="22" t="str">
        <f aca="false">IF($B19="","",$B19&amp;"|"&amp;$D19)</f>
        <v>Girls Cotton Party Frock|Meesho</v>
      </c>
    </row>
    <row r="20" customFormat="false" ht="15" hidden="false" customHeight="false" outlineLevel="0" collapsed="false">
      <c r="A20" s="17" t="n">
        <v>6</v>
      </c>
      <c r="B20" s="17" t="s">
        <v>64</v>
      </c>
      <c r="C20" s="17" t="s">
        <v>62</v>
      </c>
      <c r="D20" s="17" t="s">
        <v>17</v>
      </c>
      <c r="E20" s="23" t="n">
        <v>939</v>
      </c>
      <c r="F20" s="17" t="s">
        <v>56</v>
      </c>
      <c r="G20" s="24" t="n">
        <v>5</v>
      </c>
      <c r="H20" s="17" t="s">
        <v>53</v>
      </c>
      <c r="I20" s="25" t="n">
        <v>46310</v>
      </c>
      <c r="J20" s="17"/>
      <c r="K20" s="26" t="s">
        <v>54</v>
      </c>
      <c r="L20" s="26" t="s">
        <v>55</v>
      </c>
      <c r="M20" s="18" t="n">
        <f aca="false">IF($F20="","",IF(ISNUMBER(SEARCH("no warranty",$F20)),0,IF(ISNUMBER(SEARCH("year",$F20)),12*VALUE(LEFT($F20,FIND(" ",$F20)-1)),IF(ISNUMBER(SEARCH("month",$F20)),VALUE(LEFT($F20,FIND(" ",$F20)-1)),""))))</f>
        <v>0</v>
      </c>
      <c r="N20" s="20" t="n">
        <f aca="false">IF(OR($H20&lt;&gt;"Yes",$E20=""),"",IF(_xlfn.MAXIFS($E$5:$E$60,$A$5:$A$60,$A20,$H$5:$H$60,"Yes")=_xlfn.MINIFS($E$5:$E$60,$A$5:$A$60,$A20,$H$5:$H$60,"Yes"),1,(_xlfn.MAXIFS($E$5:$E$60,$A$5:$A$60,$A20,$H$5:$H$60,"Yes")-$E20)/(_xlfn.MAXIFS($E$5:$E$60,$A$5:$A$60,$A20,$H$5:$H$60,"Yes")-_xlfn.MINIFS($E$5:$E$60,$A$5:$A$60,$A20,$H$5:$H$60,"Yes"))))</f>
        <v>0</v>
      </c>
      <c r="O20" s="20" t="n">
        <f aca="false">IF(OR($H20&lt;&gt;"Yes",$G20=""),"",IF(Weights!$B$10="Relative",IF(_xlfn.MAXIFS($G$5:$G$60,$A$5:$A$60,$A20,$H$5:$H$60,"Yes")=_xlfn.MINIFS($G$5:$G$60,$A$5:$A$60,$A20,$H$5:$H$60,"Yes"),1,($G20-_xlfn.MINIFS($G$5:$G$60,$A$5:$A$60,$A20,$H$5:$H$60,"Yes"))/(_xlfn.MAXIFS($G$5:$G$60,$A$5:$A$60,$A20,$H$5:$H$60,"Yes")-_xlfn.MINIFS($G$5:$G$60,$A$5:$A$60,$A20,$H$5:$H$60,"Yes"))),$G20/5))</f>
        <v>1</v>
      </c>
      <c r="P20" s="20" t="n">
        <f aca="false">IF(OR($H20&lt;&gt;"Yes",$M20=""),"",IF(_xlfn.MAXIFS($M$5:$M$60,$A$5:$A$60,$A20,$H$5:$H$60,"Yes")=_xlfn.MINIFS($M$5:$M$60,$A$5:$A$60,$A20,$H$5:$H$60,"Yes"),1,($M20-_xlfn.MINIFS($M$5:$M$60,$A$5:$A$60,$A20,$H$5:$H$60,"Yes"))/(_xlfn.MAXIFS($M$5:$M$60,$A$5:$A$60,$A20,$H$5:$H$60,"Yes")-_xlfn.MINIFS($M$5:$M$60,$A$5:$A$60,$A20,$H$5:$H$60,"Yes"))))</f>
        <v>1</v>
      </c>
      <c r="Q20" s="20" t="str">
        <f aca="false">IF(OR($H20&lt;&gt;"Yes",$J20=""),"",IF(_xlfn.MAXIFS($J$5:$J$60,$A$5:$A$60,$A20,$H$5:$H$60,"Yes")=_xlfn.MINIFS($J$5:$J$60,$A$5:$A$60,$A20,$H$5:$H$60,"Yes"),1,(_xlfn.MAXIFS($J$5:$J$60,$A$5:$A$60,$A20,$H$5:$H$60,"Yes")-$J20)/(_xlfn.MAXIFS($J$5:$J$60,$A$5:$A$60,$A20,$H$5:$H$60,"Yes")-_xlfn.MINIFS($J$5:$J$60,$A$5:$A$60,$A20,$H$5:$H$60,"Yes"))))</f>
        <v/>
      </c>
      <c r="R20" s="20" t="n">
        <f aca="false">IF($H20&lt;&gt;"Yes","",IFERROR(ROUND(100*(IF($N20="",0,Weights!$B$5*$N20)+IF($O20="",0,Weights!$B$6*$O20)+IF($P20="",0,Weights!$B$7*$P20)+IF($Q20="",0,Weights!$B$8*$Q20))/(IF($N20="",0,Weights!$B$5)+IF($O20="",0,Weights!$B$6)+IF($P20="",0,Weights!$B$7)+IF($Q20="",0,Weights!$B$8)),2),""))</f>
        <v>50</v>
      </c>
      <c r="S20" s="18" t="n">
        <f aca="false">IF($R20="","",COUNTIFS($A$5:$A$60,$A20,$R$5:$R$60,"&gt;"&amp;$R20)+1)</f>
        <v>3</v>
      </c>
      <c r="T20" s="18" t="n">
        <f aca="false">IF(OR($H20&lt;&gt;"Yes",$E20=""),"",COUNTIFS($A$5:$A$60,$A20,$H$5:$H$60,"Yes",$E$5:$E$60,"&lt;"&amp;$E20)+1)</f>
        <v>3</v>
      </c>
      <c r="U20" s="22" t="str">
        <f aca="false">IF($S20="","",$A20&amp;"|"&amp;$S20)</f>
        <v>6|3</v>
      </c>
      <c r="V20" s="22" t="str">
        <f aca="false">IF($T20="","",$A20&amp;"|"&amp;$T20)</f>
        <v>6|3</v>
      </c>
      <c r="W20" s="22" t="str">
        <f aca="false">IF($B20="","",$B20&amp;"|"&amp;$D20)</f>
        <v>Women's Anarkali Kurti Set|Amazon</v>
      </c>
    </row>
    <row r="21" customFormat="false" ht="15" hidden="false" customHeight="false" outlineLevel="0" collapsed="false">
      <c r="A21" s="17" t="n">
        <v>6</v>
      </c>
      <c r="B21" s="17" t="s">
        <v>64</v>
      </c>
      <c r="C21" s="17" t="s">
        <v>62</v>
      </c>
      <c r="D21" s="17" t="s">
        <v>18</v>
      </c>
      <c r="E21" s="23" t="n">
        <v>879</v>
      </c>
      <c r="F21" s="17" t="s">
        <v>56</v>
      </c>
      <c r="G21" s="24" t="n">
        <v>4</v>
      </c>
      <c r="H21" s="17" t="s">
        <v>53</v>
      </c>
      <c r="I21" s="25" t="n">
        <v>46310</v>
      </c>
      <c r="J21" s="17"/>
      <c r="K21" s="26" t="s">
        <v>54</v>
      </c>
      <c r="L21" s="26" t="s">
        <v>55</v>
      </c>
      <c r="M21" s="18" t="n">
        <f aca="false">IF($F21="","",IF(ISNUMBER(SEARCH("no warranty",$F21)),0,IF(ISNUMBER(SEARCH("year",$F21)),12*VALUE(LEFT($F21,FIND(" ",$F21)-1)),IF(ISNUMBER(SEARCH("month",$F21)),VALUE(LEFT($F21,FIND(" ",$F21)-1)),""))))</f>
        <v>0</v>
      </c>
      <c r="N21" s="20" t="n">
        <f aca="false">IF(OR($H21&lt;&gt;"Yes",$E21=""),"",IF(_xlfn.MAXIFS($E$5:$E$60,$A$5:$A$60,$A21,$H$5:$H$60,"Yes")=_xlfn.MINIFS($E$5:$E$60,$A$5:$A$60,$A21,$H$5:$H$60,"Yes"),1,(_xlfn.MAXIFS($E$5:$E$60,$A$5:$A$60,$A21,$H$5:$H$60,"Yes")-$E21)/(_xlfn.MAXIFS($E$5:$E$60,$A$5:$A$60,$A21,$H$5:$H$60,"Yes")-_xlfn.MINIFS($E$5:$E$60,$A$5:$A$60,$A21,$H$5:$H$60,"Yes"))))</f>
        <v>0.301507537688442</v>
      </c>
      <c r="O21" s="20" t="n">
        <f aca="false">IF(OR($H21&lt;&gt;"Yes",$G21=""),"",IF(Weights!$B$10="Relative",IF(_xlfn.MAXIFS($G$5:$G$60,$A$5:$A$60,$A21,$H$5:$H$60,"Yes")=_xlfn.MINIFS($G$5:$G$60,$A$5:$A$60,$A21,$H$5:$H$60,"Yes"),1,($G21-_xlfn.MINIFS($G$5:$G$60,$A$5:$A$60,$A21,$H$5:$H$60,"Yes"))/(_xlfn.MAXIFS($G$5:$G$60,$A$5:$A$60,$A21,$H$5:$H$60,"Yes")-_xlfn.MINIFS($G$5:$G$60,$A$5:$A$60,$A21,$H$5:$H$60,"Yes"))),$G21/5))</f>
        <v>0.8</v>
      </c>
      <c r="P21" s="20" t="n">
        <f aca="false">IF(OR($H21&lt;&gt;"Yes",$M21=""),"",IF(_xlfn.MAXIFS($M$5:$M$60,$A$5:$A$60,$A21,$H$5:$H$60,"Yes")=_xlfn.MINIFS($M$5:$M$60,$A$5:$A$60,$A21,$H$5:$H$60,"Yes"),1,($M21-_xlfn.MINIFS($M$5:$M$60,$A$5:$A$60,$A21,$H$5:$H$60,"Yes"))/(_xlfn.MAXIFS($M$5:$M$60,$A$5:$A$60,$A21,$H$5:$H$60,"Yes")-_xlfn.MINIFS($M$5:$M$60,$A$5:$A$60,$A21,$H$5:$H$60,"Yes"))))</f>
        <v>1</v>
      </c>
      <c r="Q21" s="20" t="str">
        <f aca="false">IF(OR($H21&lt;&gt;"Yes",$J21=""),"",IF(_xlfn.MAXIFS($J$5:$J$60,$A$5:$A$60,$A21,$H$5:$H$60,"Yes")=_xlfn.MINIFS($J$5:$J$60,$A$5:$A$60,$A21,$H$5:$H$60,"Yes"),1,(_xlfn.MAXIFS($J$5:$J$60,$A$5:$A$60,$A21,$H$5:$H$60,"Yes")-$J21)/(_xlfn.MAXIFS($J$5:$J$60,$A$5:$A$60,$A21,$H$5:$H$60,"Yes")-_xlfn.MINIFS($J$5:$J$60,$A$5:$A$60,$A21,$H$5:$H$60,"Yes"))))</f>
        <v/>
      </c>
      <c r="R21" s="20" t="n">
        <f aca="false">IF($H21&lt;&gt;"Yes","",IFERROR(ROUND(100*(IF($N21="",0,Weights!$B$5*$N21)+IF($O21="",0,Weights!$B$6*$O21)+IF($P21="",0,Weights!$B$7*$P21)+IF($Q21="",0,Weights!$B$8*$Q21))/(IF($N21="",0,Weights!$B$5)+IF($O21="",0,Weights!$B$6)+IF($P21="",0,Weights!$B$7)+IF($Q21="",0,Weights!$B$8)),2),""))</f>
        <v>59.08</v>
      </c>
      <c r="S21" s="18" t="n">
        <f aca="false">IF($R21="","",COUNTIFS($A$5:$A$60,$A21,$R$5:$R$60,"&gt;"&amp;$R21)+1)</f>
        <v>2</v>
      </c>
      <c r="T21" s="18" t="n">
        <f aca="false">IF(OR($H21&lt;&gt;"Yes",$E21=""),"",COUNTIFS($A$5:$A$60,$A21,$H$5:$H$60,"Yes",$E$5:$E$60,"&lt;"&amp;$E21)+1)</f>
        <v>2</v>
      </c>
      <c r="U21" s="22" t="str">
        <f aca="false">IF($S21="","",$A21&amp;"|"&amp;$S21)</f>
        <v>6|2</v>
      </c>
      <c r="V21" s="22" t="str">
        <f aca="false">IF($T21="","",$A21&amp;"|"&amp;$T21)</f>
        <v>6|2</v>
      </c>
      <c r="W21" s="22" t="str">
        <f aca="false">IF($B21="","",$B21&amp;"|"&amp;$D21)</f>
        <v>Women's Anarkali Kurti Set|Flipkart</v>
      </c>
    </row>
    <row r="22" customFormat="false" ht="15" hidden="false" customHeight="false" outlineLevel="0" collapsed="false">
      <c r="A22" s="17" t="n">
        <v>6</v>
      </c>
      <c r="B22" s="17" t="s">
        <v>64</v>
      </c>
      <c r="C22" s="17" t="s">
        <v>62</v>
      </c>
      <c r="D22" s="17" t="s">
        <v>19</v>
      </c>
      <c r="E22" s="23" t="n">
        <v>740</v>
      </c>
      <c r="F22" s="17" t="s">
        <v>56</v>
      </c>
      <c r="G22" s="24" t="n">
        <v>5</v>
      </c>
      <c r="H22" s="17" t="s">
        <v>53</v>
      </c>
      <c r="I22" s="25" t="n">
        <v>46310</v>
      </c>
      <c r="J22" s="17"/>
      <c r="K22" s="17"/>
      <c r="L22" s="26" t="s">
        <v>55</v>
      </c>
      <c r="M22" s="18" t="n">
        <f aca="false">IF($F22="","",IF(ISNUMBER(SEARCH("no warranty",$F22)),0,IF(ISNUMBER(SEARCH("year",$F22)),12*VALUE(LEFT($F22,FIND(" ",$F22)-1)),IF(ISNUMBER(SEARCH("month",$F22)),VALUE(LEFT($F22,FIND(" ",$F22)-1)),""))))</f>
        <v>0</v>
      </c>
      <c r="N22" s="20" t="n">
        <f aca="false">IF(OR($H22&lt;&gt;"Yes",$E22=""),"",IF(_xlfn.MAXIFS($E$5:$E$60,$A$5:$A$60,$A22,$H$5:$H$60,"Yes")=_xlfn.MINIFS($E$5:$E$60,$A$5:$A$60,$A22,$H$5:$H$60,"Yes"),1,(_xlfn.MAXIFS($E$5:$E$60,$A$5:$A$60,$A22,$H$5:$H$60,"Yes")-$E22)/(_xlfn.MAXIFS($E$5:$E$60,$A$5:$A$60,$A22,$H$5:$H$60,"Yes")-_xlfn.MINIFS($E$5:$E$60,$A$5:$A$60,$A22,$H$5:$H$60,"Yes"))))</f>
        <v>1</v>
      </c>
      <c r="O22" s="20" t="n">
        <f aca="false">IF(OR($H22&lt;&gt;"Yes",$G22=""),"",IF(Weights!$B$10="Relative",IF(_xlfn.MAXIFS($G$5:$G$60,$A$5:$A$60,$A22,$H$5:$H$60,"Yes")=_xlfn.MINIFS($G$5:$G$60,$A$5:$A$60,$A22,$H$5:$H$60,"Yes"),1,($G22-_xlfn.MINIFS($G$5:$G$60,$A$5:$A$60,$A22,$H$5:$H$60,"Yes"))/(_xlfn.MAXIFS($G$5:$G$60,$A$5:$A$60,$A22,$H$5:$H$60,"Yes")-_xlfn.MINIFS($G$5:$G$60,$A$5:$A$60,$A22,$H$5:$H$60,"Yes"))),$G22/5))</f>
        <v>1</v>
      </c>
      <c r="P22" s="20" t="n">
        <f aca="false">IF(OR($H22&lt;&gt;"Yes",$M22=""),"",IF(_xlfn.MAXIFS($M$5:$M$60,$A$5:$A$60,$A22,$H$5:$H$60,"Yes")=_xlfn.MINIFS($M$5:$M$60,$A$5:$A$60,$A22,$H$5:$H$60,"Yes"),1,($M22-_xlfn.MINIFS($M$5:$M$60,$A$5:$A$60,$A22,$H$5:$H$60,"Yes"))/(_xlfn.MAXIFS($M$5:$M$60,$A$5:$A$60,$A22,$H$5:$H$60,"Yes")-_xlfn.MINIFS($M$5:$M$60,$A$5:$A$60,$A22,$H$5:$H$60,"Yes"))))</f>
        <v>1</v>
      </c>
      <c r="Q22" s="20" t="str">
        <f aca="false">IF(OR($H22&lt;&gt;"Yes",$J22=""),"",IF(_xlfn.MAXIFS($J$5:$J$60,$A$5:$A$60,$A22,$H$5:$H$60,"Yes")=_xlfn.MINIFS($J$5:$J$60,$A$5:$A$60,$A22,$H$5:$H$60,"Yes"),1,(_xlfn.MAXIFS($J$5:$J$60,$A$5:$A$60,$A22,$H$5:$H$60,"Yes")-$J22)/(_xlfn.MAXIFS($J$5:$J$60,$A$5:$A$60,$A22,$H$5:$H$60,"Yes")-_xlfn.MINIFS($J$5:$J$60,$A$5:$A$60,$A22,$H$5:$H$60,"Yes"))))</f>
        <v/>
      </c>
      <c r="R22" s="20" t="n">
        <f aca="false">IF($H22&lt;&gt;"Yes","",IFERROR(ROUND(100*(IF($N22="",0,Weights!$B$5*$N22)+IF($O22="",0,Weights!$B$6*$O22)+IF($P22="",0,Weights!$B$7*$P22)+IF($Q22="",0,Weights!$B$8*$Q22))/(IF($N22="",0,Weights!$B$5)+IF($O22="",0,Weights!$B$6)+IF($P22="",0,Weights!$B$7)+IF($Q22="",0,Weights!$B$8)),2),""))</f>
        <v>100</v>
      </c>
      <c r="S22" s="18" t="n">
        <f aca="false">IF($R22="","",COUNTIFS($A$5:$A$60,$A22,$R$5:$R$60,"&gt;"&amp;$R22)+1)</f>
        <v>1</v>
      </c>
      <c r="T22" s="18" t="n">
        <f aca="false">IF(OR($H22&lt;&gt;"Yes",$E22=""),"",COUNTIFS($A$5:$A$60,$A22,$H$5:$H$60,"Yes",$E$5:$E$60,"&lt;"&amp;$E22)+1)</f>
        <v>1</v>
      </c>
      <c r="U22" s="22" t="str">
        <f aca="false">IF($S22="","",$A22&amp;"|"&amp;$S22)</f>
        <v>6|1</v>
      </c>
      <c r="V22" s="22" t="str">
        <f aca="false">IF($T22="","",$A22&amp;"|"&amp;$T22)</f>
        <v>6|1</v>
      </c>
      <c r="W22" s="22" t="str">
        <f aca="false">IF($B22="","",$B22&amp;"|"&amp;$D22)</f>
        <v>Women's Anarkali Kurti Set|Meesho</v>
      </c>
    </row>
    <row r="23" customFormat="false" ht="15" hidden="false" customHeight="false" outlineLevel="0" collapsed="false">
      <c r="A23" s="17" t="n">
        <v>7</v>
      </c>
      <c r="B23" s="17" t="s">
        <v>65</v>
      </c>
      <c r="C23" s="17" t="s">
        <v>62</v>
      </c>
      <c r="D23" s="17" t="s">
        <v>17</v>
      </c>
      <c r="E23" s="23" t="n">
        <v>288</v>
      </c>
      <c r="F23" s="17" t="s">
        <v>56</v>
      </c>
      <c r="G23" s="24" t="n">
        <v>3.8</v>
      </c>
      <c r="H23" s="17" t="s">
        <v>53</v>
      </c>
      <c r="I23" s="25" t="n">
        <v>46310</v>
      </c>
      <c r="J23" s="17"/>
      <c r="K23" s="17"/>
      <c r="L23" s="26" t="s">
        <v>55</v>
      </c>
      <c r="M23" s="18" t="n">
        <f aca="false">IF($F23="","",IF(ISNUMBER(SEARCH("no warranty",$F23)),0,IF(ISNUMBER(SEARCH("year",$F23)),12*VALUE(LEFT($F23,FIND(" ",$F23)-1)),IF(ISNUMBER(SEARCH("month",$F23)),VALUE(LEFT($F23,FIND(" ",$F23)-1)),""))))</f>
        <v>0</v>
      </c>
      <c r="N23" s="20" t="n">
        <f aca="false">IF(OR($H23&lt;&gt;"Yes",$E23=""),"",IF(_xlfn.MAXIFS($E$5:$E$60,$A$5:$A$60,$A23,$H$5:$H$60,"Yes")=_xlfn.MINIFS($E$5:$E$60,$A$5:$A$60,$A23,$H$5:$H$60,"Yes"),1,(_xlfn.MAXIFS($E$5:$E$60,$A$5:$A$60,$A23,$H$5:$H$60,"Yes")-$E23)/(_xlfn.MAXIFS($E$5:$E$60,$A$5:$A$60,$A23,$H$5:$H$60,"Yes")-_xlfn.MINIFS($E$5:$E$60,$A$5:$A$60,$A23,$H$5:$H$60,"Yes"))))</f>
        <v>1</v>
      </c>
      <c r="O23" s="20" t="n">
        <f aca="false">IF(OR($H23&lt;&gt;"Yes",$G23=""),"",IF(Weights!$B$10="Relative",IF(_xlfn.MAXIFS($G$5:$G$60,$A$5:$A$60,$A23,$H$5:$H$60,"Yes")=_xlfn.MINIFS($G$5:$G$60,$A$5:$A$60,$A23,$H$5:$H$60,"Yes"),1,($G23-_xlfn.MINIFS($G$5:$G$60,$A$5:$A$60,$A23,$H$5:$H$60,"Yes"))/(_xlfn.MAXIFS($G$5:$G$60,$A$5:$A$60,$A23,$H$5:$H$60,"Yes")-_xlfn.MINIFS($G$5:$G$60,$A$5:$A$60,$A23,$H$5:$H$60,"Yes"))),$G23/5))</f>
        <v>0.76</v>
      </c>
      <c r="P23" s="20" t="n">
        <f aca="false">IF(OR($H23&lt;&gt;"Yes",$M23=""),"",IF(_xlfn.MAXIFS($M$5:$M$60,$A$5:$A$60,$A23,$H$5:$H$60,"Yes")=_xlfn.MINIFS($M$5:$M$60,$A$5:$A$60,$A23,$H$5:$H$60,"Yes"),1,($M23-_xlfn.MINIFS($M$5:$M$60,$A$5:$A$60,$A23,$H$5:$H$60,"Yes"))/(_xlfn.MAXIFS($M$5:$M$60,$A$5:$A$60,$A23,$H$5:$H$60,"Yes")-_xlfn.MINIFS($M$5:$M$60,$A$5:$A$60,$A23,$H$5:$H$60,"Yes"))))</f>
        <v>1</v>
      </c>
      <c r="Q23" s="20" t="str">
        <f aca="false">IF(OR($H23&lt;&gt;"Yes",$J23=""),"",IF(_xlfn.MAXIFS($J$5:$J$60,$A$5:$A$60,$A23,$H$5:$H$60,"Yes")=_xlfn.MINIFS($J$5:$J$60,$A$5:$A$60,$A23,$H$5:$H$60,"Yes"),1,(_xlfn.MAXIFS($J$5:$J$60,$A$5:$A$60,$A23,$H$5:$H$60,"Yes")-$J23)/(_xlfn.MAXIFS($J$5:$J$60,$A$5:$A$60,$A23,$H$5:$H$60,"Yes")-_xlfn.MINIFS($J$5:$J$60,$A$5:$A$60,$A23,$H$5:$H$60,"Yes"))))</f>
        <v/>
      </c>
      <c r="R23" s="20" t="n">
        <f aca="false">IF($H23&lt;&gt;"Yes","",IFERROR(ROUND(100*(IF($N23="",0,Weights!$B$5*$N23)+IF($O23="",0,Weights!$B$6*$O23)+IF($P23="",0,Weights!$B$7*$P23)+IF($Q23="",0,Weights!$B$8*$Q23))/(IF($N23="",0,Weights!$B$5)+IF($O23="",0,Weights!$B$6)+IF($P23="",0,Weights!$B$7)+IF($Q23="",0,Weights!$B$8)),2),""))</f>
        <v>92.8</v>
      </c>
      <c r="S23" s="18" t="n">
        <f aca="false">IF($R23="","",COUNTIFS($A$5:$A$60,$A23,$R$5:$R$60,"&gt;"&amp;$R23)+1)</f>
        <v>1</v>
      </c>
      <c r="T23" s="18" t="n">
        <f aca="false">IF(OR($H23&lt;&gt;"Yes",$E23=""),"",COUNTIFS($A$5:$A$60,$A23,$H$5:$H$60,"Yes",$E$5:$E$60,"&lt;"&amp;$E23)+1)</f>
        <v>1</v>
      </c>
      <c r="U23" s="22" t="str">
        <f aca="false">IF($S23="","",$A23&amp;"|"&amp;$S23)</f>
        <v>7|1</v>
      </c>
      <c r="V23" s="22" t="str">
        <f aca="false">IF($T23="","",$A23&amp;"|"&amp;$T23)</f>
        <v>7|1</v>
      </c>
      <c r="W23" s="22" t="str">
        <f aca="false">IF($B23="","",$B23&amp;"|"&amp;$D23)</f>
        <v>Women's Floral Print Maxi Dress|Amazon</v>
      </c>
    </row>
    <row r="24" customFormat="false" ht="15" hidden="false" customHeight="false" outlineLevel="0" collapsed="false">
      <c r="A24" s="17" t="n">
        <v>7</v>
      </c>
      <c r="B24" s="17" t="s">
        <v>65</v>
      </c>
      <c r="C24" s="17" t="s">
        <v>62</v>
      </c>
      <c r="D24" s="17" t="s">
        <v>18</v>
      </c>
      <c r="E24" s="23" t="n">
        <v>372</v>
      </c>
      <c r="F24" s="17" t="s">
        <v>56</v>
      </c>
      <c r="G24" s="24" t="n">
        <v>4.3</v>
      </c>
      <c r="H24" s="17" t="s">
        <v>53</v>
      </c>
      <c r="I24" s="25" t="n">
        <v>46310</v>
      </c>
      <c r="J24" s="17"/>
      <c r="K24" s="17"/>
      <c r="L24" s="26" t="s">
        <v>55</v>
      </c>
      <c r="M24" s="18" t="n">
        <f aca="false">IF($F24="","",IF(ISNUMBER(SEARCH("no warranty",$F24)),0,IF(ISNUMBER(SEARCH("year",$F24)),12*VALUE(LEFT($F24,FIND(" ",$F24)-1)),IF(ISNUMBER(SEARCH("month",$F24)),VALUE(LEFT($F24,FIND(" ",$F24)-1)),""))))</f>
        <v>0</v>
      </c>
      <c r="N24" s="20" t="n">
        <f aca="false">IF(OR($H24&lt;&gt;"Yes",$E24=""),"",IF(_xlfn.MAXIFS($E$5:$E$60,$A$5:$A$60,$A24,$H$5:$H$60,"Yes")=_xlfn.MINIFS($E$5:$E$60,$A$5:$A$60,$A24,$H$5:$H$60,"Yes"),1,(_xlfn.MAXIFS($E$5:$E$60,$A$5:$A$60,$A24,$H$5:$H$60,"Yes")-$E24)/(_xlfn.MAXIFS($E$5:$E$60,$A$5:$A$60,$A24,$H$5:$H$60,"Yes")-_xlfn.MINIFS($E$5:$E$60,$A$5:$A$60,$A24,$H$5:$H$60,"Yes"))))</f>
        <v>0.0117647058823529</v>
      </c>
      <c r="O24" s="20" t="n">
        <f aca="false">IF(OR($H24&lt;&gt;"Yes",$G24=""),"",IF(Weights!$B$10="Relative",IF(_xlfn.MAXIFS($G$5:$G$60,$A$5:$A$60,$A24,$H$5:$H$60,"Yes")=_xlfn.MINIFS($G$5:$G$60,$A$5:$A$60,$A24,$H$5:$H$60,"Yes"),1,($G24-_xlfn.MINIFS($G$5:$G$60,$A$5:$A$60,$A24,$H$5:$H$60,"Yes"))/(_xlfn.MAXIFS($G$5:$G$60,$A$5:$A$60,$A24,$H$5:$H$60,"Yes")-_xlfn.MINIFS($G$5:$G$60,$A$5:$A$60,$A24,$H$5:$H$60,"Yes"))),$G24/5))</f>
        <v>0.86</v>
      </c>
      <c r="P24" s="20" t="n">
        <f aca="false">IF(OR($H24&lt;&gt;"Yes",$M24=""),"",IF(_xlfn.MAXIFS($M$5:$M$60,$A$5:$A$60,$A24,$H$5:$H$60,"Yes")=_xlfn.MINIFS($M$5:$M$60,$A$5:$A$60,$A24,$H$5:$H$60,"Yes"),1,($M24-_xlfn.MINIFS($M$5:$M$60,$A$5:$A$60,$A24,$H$5:$H$60,"Yes"))/(_xlfn.MAXIFS($M$5:$M$60,$A$5:$A$60,$A24,$H$5:$H$60,"Yes")-_xlfn.MINIFS($M$5:$M$60,$A$5:$A$60,$A24,$H$5:$H$60,"Yes"))))</f>
        <v>1</v>
      </c>
      <c r="Q24" s="20" t="str">
        <f aca="false">IF(OR($H24&lt;&gt;"Yes",$J24=""),"",IF(_xlfn.MAXIFS($J$5:$J$60,$A$5:$A$60,$A24,$H$5:$H$60,"Yes")=_xlfn.MINIFS($J$5:$J$60,$A$5:$A$60,$A24,$H$5:$H$60,"Yes"),1,(_xlfn.MAXIFS($J$5:$J$60,$A$5:$A$60,$A24,$H$5:$H$60,"Yes")-$J24)/(_xlfn.MAXIFS($J$5:$J$60,$A$5:$A$60,$A24,$H$5:$H$60,"Yes")-_xlfn.MINIFS($J$5:$J$60,$A$5:$A$60,$A24,$H$5:$H$60,"Yes"))))</f>
        <v/>
      </c>
      <c r="R24" s="20" t="n">
        <f aca="false">IF($H24&lt;&gt;"Yes","",IFERROR(ROUND(100*(IF($N24="",0,Weights!$B$5*$N24)+IF($O24="",0,Weights!$B$6*$O24)+IF($P24="",0,Weights!$B$7*$P24)+IF($Q24="",0,Weights!$B$8*$Q24))/(IF($N24="",0,Weights!$B$5)+IF($O24="",0,Weights!$B$6)+IF($P24="",0,Weights!$B$7)+IF($Q24="",0,Weights!$B$8)),2),""))</f>
        <v>46.39</v>
      </c>
      <c r="S24" s="18" t="n">
        <f aca="false">IF($R24="","",COUNTIFS($A$5:$A$60,$A24,$R$5:$R$60,"&gt;"&amp;$R24)+1)</f>
        <v>2</v>
      </c>
      <c r="T24" s="18" t="n">
        <f aca="false">IF(OR($H24&lt;&gt;"Yes",$E24=""),"",COUNTIFS($A$5:$A$60,$A24,$H$5:$H$60,"Yes",$E$5:$E$60,"&lt;"&amp;$E24)+1)</f>
        <v>2</v>
      </c>
      <c r="U24" s="22" t="str">
        <f aca="false">IF($S24="","",$A24&amp;"|"&amp;$S24)</f>
        <v>7|2</v>
      </c>
      <c r="V24" s="22" t="str">
        <f aca="false">IF($T24="","",$A24&amp;"|"&amp;$T24)</f>
        <v>7|2</v>
      </c>
      <c r="W24" s="22" t="str">
        <f aca="false">IF($B24="","",$B24&amp;"|"&amp;$D24)</f>
        <v>Women's Floral Print Maxi Dress|Flipkart</v>
      </c>
    </row>
    <row r="25" customFormat="false" ht="15" hidden="false" customHeight="false" outlineLevel="0" collapsed="false">
      <c r="A25" s="17" t="n">
        <v>7</v>
      </c>
      <c r="B25" s="17" t="s">
        <v>65</v>
      </c>
      <c r="C25" s="17" t="s">
        <v>62</v>
      </c>
      <c r="D25" s="17" t="s">
        <v>19</v>
      </c>
      <c r="E25" s="23" t="n">
        <v>373</v>
      </c>
      <c r="F25" s="17" t="s">
        <v>56</v>
      </c>
      <c r="G25" s="24" t="n">
        <v>4.3</v>
      </c>
      <c r="H25" s="17" t="s">
        <v>53</v>
      </c>
      <c r="I25" s="25" t="n">
        <v>46310</v>
      </c>
      <c r="J25" s="17"/>
      <c r="K25" s="17"/>
      <c r="L25" s="26" t="s">
        <v>55</v>
      </c>
      <c r="M25" s="18" t="n">
        <f aca="false">IF($F25="","",IF(ISNUMBER(SEARCH("no warranty",$F25)),0,IF(ISNUMBER(SEARCH("year",$F25)),12*VALUE(LEFT($F25,FIND(" ",$F25)-1)),IF(ISNUMBER(SEARCH("month",$F25)),VALUE(LEFT($F25,FIND(" ",$F25)-1)),""))))</f>
        <v>0</v>
      </c>
      <c r="N25" s="20" t="n">
        <f aca="false">IF(OR($H25&lt;&gt;"Yes",$E25=""),"",IF(_xlfn.MAXIFS($E$5:$E$60,$A$5:$A$60,$A25,$H$5:$H$60,"Yes")=_xlfn.MINIFS($E$5:$E$60,$A$5:$A$60,$A25,$H$5:$H$60,"Yes"),1,(_xlfn.MAXIFS($E$5:$E$60,$A$5:$A$60,$A25,$H$5:$H$60,"Yes")-$E25)/(_xlfn.MAXIFS($E$5:$E$60,$A$5:$A$60,$A25,$H$5:$H$60,"Yes")-_xlfn.MINIFS($E$5:$E$60,$A$5:$A$60,$A25,$H$5:$H$60,"Yes"))))</f>
        <v>0</v>
      </c>
      <c r="O25" s="20" t="n">
        <f aca="false">IF(OR($H25&lt;&gt;"Yes",$G25=""),"",IF(Weights!$B$10="Relative",IF(_xlfn.MAXIFS($G$5:$G$60,$A$5:$A$60,$A25,$H$5:$H$60,"Yes")=_xlfn.MINIFS($G$5:$G$60,$A$5:$A$60,$A25,$H$5:$H$60,"Yes"),1,($G25-_xlfn.MINIFS($G$5:$G$60,$A$5:$A$60,$A25,$H$5:$H$60,"Yes"))/(_xlfn.MAXIFS($G$5:$G$60,$A$5:$A$60,$A25,$H$5:$H$60,"Yes")-_xlfn.MINIFS($G$5:$G$60,$A$5:$A$60,$A25,$H$5:$H$60,"Yes"))),$G25/5))</f>
        <v>0.86</v>
      </c>
      <c r="P25" s="20" t="n">
        <f aca="false">IF(OR($H25&lt;&gt;"Yes",$M25=""),"",IF(_xlfn.MAXIFS($M$5:$M$60,$A$5:$A$60,$A25,$H$5:$H$60,"Yes")=_xlfn.MINIFS($M$5:$M$60,$A$5:$A$60,$A25,$H$5:$H$60,"Yes"),1,($M25-_xlfn.MINIFS($M$5:$M$60,$A$5:$A$60,$A25,$H$5:$H$60,"Yes"))/(_xlfn.MAXIFS($M$5:$M$60,$A$5:$A$60,$A25,$H$5:$H$60,"Yes")-_xlfn.MINIFS($M$5:$M$60,$A$5:$A$60,$A25,$H$5:$H$60,"Yes"))))</f>
        <v>1</v>
      </c>
      <c r="Q25" s="20" t="str">
        <f aca="false">IF(OR($H25&lt;&gt;"Yes",$J25=""),"",IF(_xlfn.MAXIFS($J$5:$J$60,$A$5:$A$60,$A25,$H$5:$H$60,"Yes")=_xlfn.MINIFS($J$5:$J$60,$A$5:$A$60,$A25,$H$5:$H$60,"Yes"),1,(_xlfn.MAXIFS($J$5:$J$60,$A$5:$A$60,$A25,$H$5:$H$60,"Yes")-$J25)/(_xlfn.MAXIFS($J$5:$J$60,$A$5:$A$60,$A25,$H$5:$H$60,"Yes")-_xlfn.MINIFS($J$5:$J$60,$A$5:$A$60,$A25,$H$5:$H$60,"Yes"))))</f>
        <v/>
      </c>
      <c r="R25" s="20" t="n">
        <f aca="false">IF($H25&lt;&gt;"Yes","",IFERROR(ROUND(100*(IF($N25="",0,Weights!$B$5*$N25)+IF($O25="",0,Weights!$B$6*$O25)+IF($P25="",0,Weights!$B$7*$P25)+IF($Q25="",0,Weights!$B$8*$Q25))/(IF($N25="",0,Weights!$B$5)+IF($O25="",0,Weights!$B$6)+IF($P25="",0,Weights!$B$7)+IF($Q25="",0,Weights!$B$8)),2),""))</f>
        <v>45.8</v>
      </c>
      <c r="S25" s="18" t="n">
        <f aca="false">IF($R25="","",COUNTIFS($A$5:$A$60,$A25,$R$5:$R$60,"&gt;"&amp;$R25)+1)</f>
        <v>3</v>
      </c>
      <c r="T25" s="18" t="n">
        <f aca="false">IF(OR($H25&lt;&gt;"Yes",$E25=""),"",COUNTIFS($A$5:$A$60,$A25,$H$5:$H$60,"Yes",$E$5:$E$60,"&lt;"&amp;$E25)+1)</f>
        <v>3</v>
      </c>
      <c r="U25" s="22" t="str">
        <f aca="false">IF($S25="","",$A25&amp;"|"&amp;$S25)</f>
        <v>7|3</v>
      </c>
      <c r="V25" s="22" t="str">
        <f aca="false">IF($T25="","",$A25&amp;"|"&amp;$T25)</f>
        <v>7|3</v>
      </c>
      <c r="W25" s="22" t="str">
        <f aca="false">IF($B25="","",$B25&amp;"|"&amp;$D25)</f>
        <v>Women's Floral Print Maxi Dress|Meesho</v>
      </c>
    </row>
    <row r="26" customFormat="false" ht="15" hidden="false" customHeight="false" outlineLevel="0" collapsed="false">
      <c r="A26" s="17" t="n">
        <v>8</v>
      </c>
      <c r="B26" s="17" t="s">
        <v>66</v>
      </c>
      <c r="C26" s="17" t="s">
        <v>62</v>
      </c>
      <c r="D26" s="17" t="s">
        <v>17</v>
      </c>
      <c r="E26" s="23" t="n">
        <v>600</v>
      </c>
      <c r="F26" s="17" t="s">
        <v>56</v>
      </c>
      <c r="G26" s="24" t="n">
        <v>3.9</v>
      </c>
      <c r="H26" s="17" t="s">
        <v>53</v>
      </c>
      <c r="I26" s="25" t="n">
        <v>46312</v>
      </c>
      <c r="J26" s="17"/>
      <c r="K26" s="26" t="s">
        <v>54</v>
      </c>
      <c r="L26" s="26" t="s">
        <v>55</v>
      </c>
      <c r="M26" s="18" t="n">
        <f aca="false">IF($F26="","",IF(ISNUMBER(SEARCH("no warranty",$F26)),0,IF(ISNUMBER(SEARCH("year",$F26)),12*VALUE(LEFT($F26,FIND(" ",$F26)-1)),IF(ISNUMBER(SEARCH("month",$F26)),VALUE(LEFT($F26,FIND(" ",$F26)-1)),""))))</f>
        <v>0</v>
      </c>
      <c r="N26" s="20" t="n">
        <f aca="false">IF(OR($H26&lt;&gt;"Yes",$E26=""),"",IF(_xlfn.MAXIFS($E$5:$E$60,$A$5:$A$60,$A26,$H$5:$H$60,"Yes")=_xlfn.MINIFS($E$5:$E$60,$A$5:$A$60,$A26,$H$5:$H$60,"Yes"),1,(_xlfn.MAXIFS($E$5:$E$60,$A$5:$A$60,$A26,$H$5:$H$60,"Yes")-$E26)/(_xlfn.MAXIFS($E$5:$E$60,$A$5:$A$60,$A26,$H$5:$H$60,"Yes")-_xlfn.MINIFS($E$5:$E$60,$A$5:$A$60,$A26,$H$5:$H$60,"Yes"))))</f>
        <v>0</v>
      </c>
      <c r="O26" s="20" t="n">
        <f aca="false">IF(OR($H26&lt;&gt;"Yes",$G26=""),"",IF(Weights!$B$10="Relative",IF(_xlfn.MAXIFS($G$5:$G$60,$A$5:$A$60,$A26,$H$5:$H$60,"Yes")=_xlfn.MINIFS($G$5:$G$60,$A$5:$A$60,$A26,$H$5:$H$60,"Yes"),1,($G26-_xlfn.MINIFS($G$5:$G$60,$A$5:$A$60,$A26,$H$5:$H$60,"Yes"))/(_xlfn.MAXIFS($G$5:$G$60,$A$5:$A$60,$A26,$H$5:$H$60,"Yes")-_xlfn.MINIFS($G$5:$G$60,$A$5:$A$60,$A26,$H$5:$H$60,"Yes"))),$G26/5))</f>
        <v>0.78</v>
      </c>
      <c r="P26" s="20" t="n">
        <f aca="false">IF(OR($H26&lt;&gt;"Yes",$M26=""),"",IF(_xlfn.MAXIFS($M$5:$M$60,$A$5:$A$60,$A26,$H$5:$H$60,"Yes")=_xlfn.MINIFS($M$5:$M$60,$A$5:$A$60,$A26,$H$5:$H$60,"Yes"),1,($M26-_xlfn.MINIFS($M$5:$M$60,$A$5:$A$60,$A26,$H$5:$H$60,"Yes"))/(_xlfn.MAXIFS($M$5:$M$60,$A$5:$A$60,$A26,$H$5:$H$60,"Yes")-_xlfn.MINIFS($M$5:$M$60,$A$5:$A$60,$A26,$H$5:$H$60,"Yes"))))</f>
        <v>1</v>
      </c>
      <c r="Q26" s="20" t="str">
        <f aca="false">IF(OR($H26&lt;&gt;"Yes",$J26=""),"",IF(_xlfn.MAXIFS($J$5:$J$60,$A$5:$A$60,$A26,$H$5:$H$60,"Yes")=_xlfn.MINIFS($J$5:$J$60,$A$5:$A$60,$A26,$H$5:$H$60,"Yes"),1,(_xlfn.MAXIFS($J$5:$J$60,$A$5:$A$60,$A26,$H$5:$H$60,"Yes")-$J26)/(_xlfn.MAXIFS($J$5:$J$60,$A$5:$A$60,$A26,$H$5:$H$60,"Yes")-_xlfn.MINIFS($J$5:$J$60,$A$5:$A$60,$A26,$H$5:$H$60,"Yes"))))</f>
        <v/>
      </c>
      <c r="R26" s="20" t="n">
        <f aca="false">IF($H26&lt;&gt;"Yes","",IFERROR(ROUND(100*(IF($N26="",0,Weights!$B$5*$N26)+IF($O26="",0,Weights!$B$6*$O26)+IF($P26="",0,Weights!$B$7*$P26)+IF($Q26="",0,Weights!$B$8*$Q26))/(IF($N26="",0,Weights!$B$5)+IF($O26="",0,Weights!$B$6)+IF($P26="",0,Weights!$B$7)+IF($Q26="",0,Weights!$B$8)),2),""))</f>
        <v>43.4</v>
      </c>
      <c r="S26" s="18" t="n">
        <f aca="false">IF($R26="","",COUNTIFS($A$5:$A$60,$A26,$R$5:$R$60,"&gt;"&amp;$R26)+1)</f>
        <v>2</v>
      </c>
      <c r="T26" s="18" t="n">
        <f aca="false">IF(OR($H26&lt;&gt;"Yes",$E26=""),"",COUNTIFS($A$5:$A$60,$A26,$H$5:$H$60,"Yes",$E$5:$E$60,"&lt;"&amp;$E26)+1)</f>
        <v>2</v>
      </c>
      <c r="U26" s="22" t="str">
        <f aca="false">IF($S26="","",$A26&amp;"|"&amp;$S26)</f>
        <v>8|2</v>
      </c>
      <c r="V26" s="22" t="str">
        <f aca="false">IF($T26="","",$A26&amp;"|"&amp;$T26)</f>
        <v>8|2</v>
      </c>
      <c r="W26" s="22" t="str">
        <f aca="false">IF($B26="","",$B26&amp;"|"&amp;$D26)</f>
        <v>Men's Cotton Round Neck T-Shirt|Amazon</v>
      </c>
    </row>
    <row r="27" customFormat="false" ht="15" hidden="false" customHeight="false" outlineLevel="0" collapsed="false">
      <c r="A27" s="17" t="n">
        <v>8</v>
      </c>
      <c r="B27" s="17" t="s">
        <v>66</v>
      </c>
      <c r="C27" s="17" t="s">
        <v>62</v>
      </c>
      <c r="D27" s="17" t="s">
        <v>18</v>
      </c>
      <c r="E27" s="23" t="n">
        <v>400</v>
      </c>
      <c r="F27" s="17" t="s">
        <v>56</v>
      </c>
      <c r="G27" s="24" t="n">
        <v>4.3</v>
      </c>
      <c r="H27" s="17" t="s">
        <v>53</v>
      </c>
      <c r="I27" s="25" t="n">
        <v>46312</v>
      </c>
      <c r="J27" s="17"/>
      <c r="K27" s="26" t="s">
        <v>54</v>
      </c>
      <c r="L27" s="26" t="s">
        <v>55</v>
      </c>
      <c r="M27" s="18" t="n">
        <f aca="false">IF($F27="","",IF(ISNUMBER(SEARCH("no warranty",$F27)),0,IF(ISNUMBER(SEARCH("year",$F27)),12*VALUE(LEFT($F27,FIND(" ",$F27)-1)),IF(ISNUMBER(SEARCH("month",$F27)),VALUE(LEFT($F27,FIND(" ",$F27)-1)),""))))</f>
        <v>0</v>
      </c>
      <c r="N27" s="20" t="n">
        <f aca="false">IF(OR($H27&lt;&gt;"Yes",$E27=""),"",IF(_xlfn.MAXIFS($E$5:$E$60,$A$5:$A$60,$A27,$H$5:$H$60,"Yes")=_xlfn.MINIFS($E$5:$E$60,$A$5:$A$60,$A27,$H$5:$H$60,"Yes"),1,(_xlfn.MAXIFS($E$5:$E$60,$A$5:$A$60,$A27,$H$5:$H$60,"Yes")-$E27)/(_xlfn.MAXIFS($E$5:$E$60,$A$5:$A$60,$A27,$H$5:$H$60,"Yes")-_xlfn.MINIFS($E$5:$E$60,$A$5:$A$60,$A27,$H$5:$H$60,"Yes"))))</f>
        <v>1</v>
      </c>
      <c r="O27" s="20" t="n">
        <f aca="false">IF(OR($H27&lt;&gt;"Yes",$G27=""),"",IF(Weights!$B$10="Relative",IF(_xlfn.MAXIFS($G$5:$G$60,$A$5:$A$60,$A27,$H$5:$H$60,"Yes")=_xlfn.MINIFS($G$5:$G$60,$A$5:$A$60,$A27,$H$5:$H$60,"Yes"),1,($G27-_xlfn.MINIFS($G$5:$G$60,$A$5:$A$60,$A27,$H$5:$H$60,"Yes"))/(_xlfn.MAXIFS($G$5:$G$60,$A$5:$A$60,$A27,$H$5:$H$60,"Yes")-_xlfn.MINIFS($G$5:$G$60,$A$5:$A$60,$A27,$H$5:$H$60,"Yes"))),$G27/5))</f>
        <v>0.86</v>
      </c>
      <c r="P27" s="20" t="n">
        <f aca="false">IF(OR($H27&lt;&gt;"Yes",$M27=""),"",IF(_xlfn.MAXIFS($M$5:$M$60,$A$5:$A$60,$A27,$H$5:$H$60,"Yes")=_xlfn.MINIFS($M$5:$M$60,$A$5:$A$60,$A27,$H$5:$H$60,"Yes"),1,($M27-_xlfn.MINIFS($M$5:$M$60,$A$5:$A$60,$A27,$H$5:$H$60,"Yes"))/(_xlfn.MAXIFS($M$5:$M$60,$A$5:$A$60,$A27,$H$5:$H$60,"Yes")-_xlfn.MINIFS($M$5:$M$60,$A$5:$A$60,$A27,$H$5:$H$60,"Yes"))))</f>
        <v>1</v>
      </c>
      <c r="Q27" s="20" t="str">
        <f aca="false">IF(OR($H27&lt;&gt;"Yes",$J27=""),"",IF(_xlfn.MAXIFS($J$5:$J$60,$A$5:$A$60,$A27,$H$5:$H$60,"Yes")=_xlfn.MINIFS($J$5:$J$60,$A$5:$A$60,$A27,$H$5:$H$60,"Yes"),1,(_xlfn.MAXIFS($J$5:$J$60,$A$5:$A$60,$A27,$H$5:$H$60,"Yes")-$J27)/(_xlfn.MAXIFS($J$5:$J$60,$A$5:$A$60,$A27,$H$5:$H$60,"Yes")-_xlfn.MINIFS($J$5:$J$60,$A$5:$A$60,$A27,$H$5:$H$60,"Yes"))))</f>
        <v/>
      </c>
      <c r="R27" s="20" t="n">
        <f aca="false">IF($H27&lt;&gt;"Yes","",IFERROR(ROUND(100*(IF($N27="",0,Weights!$B$5*$N27)+IF($O27="",0,Weights!$B$6*$O27)+IF($P27="",0,Weights!$B$7*$P27)+IF($Q27="",0,Weights!$B$8*$Q27))/(IF($N27="",0,Weights!$B$5)+IF($O27="",0,Weights!$B$6)+IF($P27="",0,Weights!$B$7)+IF($Q27="",0,Weights!$B$8)),2),""))</f>
        <v>95.8</v>
      </c>
      <c r="S27" s="18" t="n">
        <f aca="false">IF($R27="","",COUNTIFS($A$5:$A$60,$A27,$R$5:$R$60,"&gt;"&amp;$R27)+1)</f>
        <v>1</v>
      </c>
      <c r="T27" s="18" t="n">
        <f aca="false">IF(OR($H27&lt;&gt;"Yes",$E27=""),"",COUNTIFS($A$5:$A$60,$A27,$H$5:$H$60,"Yes",$E$5:$E$60,"&lt;"&amp;$E27)+1)</f>
        <v>1</v>
      </c>
      <c r="U27" s="22" t="str">
        <f aca="false">IF($S27="","",$A27&amp;"|"&amp;$S27)</f>
        <v>8|1</v>
      </c>
      <c r="V27" s="22" t="str">
        <f aca="false">IF($T27="","",$A27&amp;"|"&amp;$T27)</f>
        <v>8|1</v>
      </c>
      <c r="W27" s="22" t="str">
        <f aca="false">IF($B27="","",$B27&amp;"|"&amp;$D27)</f>
        <v>Men's Cotton Round Neck T-Shirt|Flipkart</v>
      </c>
    </row>
    <row r="28" customFormat="false" ht="15" hidden="false" customHeight="false" outlineLevel="0" collapsed="false">
      <c r="A28" s="17" t="n">
        <v>8</v>
      </c>
      <c r="B28" s="17" t="s">
        <v>66</v>
      </c>
      <c r="C28" s="17" t="s">
        <v>62</v>
      </c>
      <c r="D28" s="17" t="s">
        <v>19</v>
      </c>
      <c r="E28" s="23" t="n">
        <v>450</v>
      </c>
      <c r="F28" s="17" t="s">
        <v>56</v>
      </c>
      <c r="G28" s="24" t="n">
        <v>3.5</v>
      </c>
      <c r="H28" s="17" t="s">
        <v>67</v>
      </c>
      <c r="I28" s="25" t="n">
        <v>46312</v>
      </c>
      <c r="J28" s="17"/>
      <c r="K28" s="17"/>
      <c r="L28" s="26" t="s">
        <v>55</v>
      </c>
      <c r="M28" s="18" t="n">
        <f aca="false">IF($F28="","",IF(ISNUMBER(SEARCH("no warranty",$F28)),0,IF(ISNUMBER(SEARCH("year",$F28)),12*VALUE(LEFT($F28,FIND(" ",$F28)-1)),IF(ISNUMBER(SEARCH("month",$F28)),VALUE(LEFT($F28,FIND(" ",$F28)-1)),""))))</f>
        <v>0</v>
      </c>
      <c r="N28" s="20" t="str">
        <f aca="false">IF(OR($H28&lt;&gt;"Yes",$E28=""),"",IF(_xlfn.MAXIFS($E$5:$E$60,$A$5:$A$60,$A28,$H$5:$H$60,"Yes")=_xlfn.MINIFS($E$5:$E$60,$A$5:$A$60,$A28,$H$5:$H$60,"Yes"),1,(_xlfn.MAXIFS($E$5:$E$60,$A$5:$A$60,$A28,$H$5:$H$60,"Yes")-$E28)/(_xlfn.MAXIFS($E$5:$E$60,$A$5:$A$60,$A28,$H$5:$H$60,"Yes")-_xlfn.MINIFS($E$5:$E$60,$A$5:$A$60,$A28,$H$5:$H$60,"Yes"))))</f>
        <v/>
      </c>
      <c r="O28" s="20" t="str">
        <f aca="false">IF(OR($H28&lt;&gt;"Yes",$G28=""),"",IF(Weights!$B$10="Relative",IF(_xlfn.MAXIFS($G$5:$G$60,$A$5:$A$60,$A28,$H$5:$H$60,"Yes")=_xlfn.MINIFS($G$5:$G$60,$A$5:$A$60,$A28,$H$5:$H$60,"Yes"),1,($G28-_xlfn.MINIFS($G$5:$G$60,$A$5:$A$60,$A28,$H$5:$H$60,"Yes"))/(_xlfn.MAXIFS($G$5:$G$60,$A$5:$A$60,$A28,$H$5:$H$60,"Yes")-_xlfn.MINIFS($G$5:$G$60,$A$5:$A$60,$A28,$H$5:$H$60,"Yes"))),$G28/5))</f>
        <v/>
      </c>
      <c r="P28" s="20" t="str">
        <f aca="false">IF(OR($H28&lt;&gt;"Yes",$M28=""),"",IF(_xlfn.MAXIFS($M$5:$M$60,$A$5:$A$60,$A28,$H$5:$H$60,"Yes")=_xlfn.MINIFS($M$5:$M$60,$A$5:$A$60,$A28,$H$5:$H$60,"Yes"),1,($M28-_xlfn.MINIFS($M$5:$M$60,$A$5:$A$60,$A28,$H$5:$H$60,"Yes"))/(_xlfn.MAXIFS($M$5:$M$60,$A$5:$A$60,$A28,$H$5:$H$60,"Yes")-_xlfn.MINIFS($M$5:$M$60,$A$5:$A$60,$A28,$H$5:$H$60,"Yes"))))</f>
        <v/>
      </c>
      <c r="Q28" s="20" t="str">
        <f aca="false">IF(OR($H28&lt;&gt;"Yes",$J28=""),"",IF(_xlfn.MAXIFS($J$5:$J$60,$A$5:$A$60,$A28,$H$5:$H$60,"Yes")=_xlfn.MINIFS($J$5:$J$60,$A$5:$A$60,$A28,$H$5:$H$60,"Yes"),1,(_xlfn.MAXIFS($J$5:$J$60,$A$5:$A$60,$A28,$H$5:$H$60,"Yes")-$J28)/(_xlfn.MAXIFS($J$5:$J$60,$A$5:$A$60,$A28,$H$5:$H$60,"Yes")-_xlfn.MINIFS($J$5:$J$60,$A$5:$A$60,$A28,$H$5:$H$60,"Yes"))))</f>
        <v/>
      </c>
      <c r="R28" s="20" t="str">
        <f aca="false">IF($H28&lt;&gt;"Yes","",IFERROR(ROUND(100*(IF($N28="",0,Weights!$B$5*$N28)+IF($O28="",0,Weights!$B$6*$O28)+IF($P28="",0,Weights!$B$7*$P28)+IF($Q28="",0,Weights!$B$8*$Q28))/(IF($N28="",0,Weights!$B$5)+IF($O28="",0,Weights!$B$6)+IF($P28="",0,Weights!$B$7)+IF($Q28="",0,Weights!$B$8)),2),""))</f>
        <v/>
      </c>
      <c r="S28" s="18" t="str">
        <f aca="false">IF($R28="","",COUNTIFS($A$5:$A$60,$A28,$R$5:$R$60,"&gt;"&amp;$R28)+1)</f>
        <v/>
      </c>
      <c r="T28" s="18" t="str">
        <f aca="false">IF(OR($H28&lt;&gt;"Yes",$E28=""),"",COUNTIFS($A$5:$A$60,$A28,$H$5:$H$60,"Yes",$E$5:$E$60,"&lt;"&amp;$E28)+1)</f>
        <v/>
      </c>
      <c r="U28" s="22" t="str">
        <f aca="false">IF($S28="","",$A28&amp;"|"&amp;$S28)</f>
        <v/>
      </c>
      <c r="V28" s="22" t="str">
        <f aca="false">IF($T28="","",$A28&amp;"|"&amp;$T28)</f>
        <v/>
      </c>
      <c r="W28" s="22" t="str">
        <f aca="false">IF($B28="","",$B28&amp;"|"&amp;$D28)</f>
        <v>Men's Cotton Round Neck T-Shirt|Meesho</v>
      </c>
    </row>
    <row r="29" customFormat="false" ht="15" hidden="false" customHeight="false" outlineLevel="0" collapsed="false">
      <c r="A29" s="17" t="n">
        <v>9</v>
      </c>
      <c r="B29" s="17" t="s">
        <v>68</v>
      </c>
      <c r="C29" s="17" t="s">
        <v>69</v>
      </c>
      <c r="D29" s="17" t="s">
        <v>17</v>
      </c>
      <c r="E29" s="23" t="n">
        <v>859</v>
      </c>
      <c r="F29" s="17" t="s">
        <v>56</v>
      </c>
      <c r="G29" s="24" t="n">
        <v>4.2</v>
      </c>
      <c r="H29" s="17" t="s">
        <v>53</v>
      </c>
      <c r="I29" s="25" t="n">
        <v>46312</v>
      </c>
      <c r="J29" s="17"/>
      <c r="K29" s="17"/>
      <c r="L29" s="26" t="s">
        <v>55</v>
      </c>
      <c r="M29" s="18" t="n">
        <f aca="false">IF($F29="","",IF(ISNUMBER(SEARCH("no warranty",$F29)),0,IF(ISNUMBER(SEARCH("year",$F29)),12*VALUE(LEFT($F29,FIND(" ",$F29)-1)),IF(ISNUMBER(SEARCH("month",$F29)),VALUE(LEFT($F29,FIND(" ",$F29)-1)),""))))</f>
        <v>0</v>
      </c>
      <c r="N29" s="20" t="n">
        <f aca="false">IF(OR($H29&lt;&gt;"Yes",$E29=""),"",IF(_xlfn.MAXIFS($E$5:$E$60,$A$5:$A$60,$A29,$H$5:$H$60,"Yes")=_xlfn.MINIFS($E$5:$E$60,$A$5:$A$60,$A29,$H$5:$H$60,"Yes"),1,(_xlfn.MAXIFS($E$5:$E$60,$A$5:$A$60,$A29,$H$5:$H$60,"Yes")-$E29)/(_xlfn.MAXIFS($E$5:$E$60,$A$5:$A$60,$A29,$H$5:$H$60,"Yes")-_xlfn.MINIFS($E$5:$E$60,$A$5:$A$60,$A29,$H$5:$H$60,"Yes"))))</f>
        <v>0</v>
      </c>
      <c r="O29" s="20" t="n">
        <f aca="false">IF(OR($H29&lt;&gt;"Yes",$G29=""),"",IF(Weights!$B$10="Relative",IF(_xlfn.MAXIFS($G$5:$G$60,$A$5:$A$60,$A29,$H$5:$H$60,"Yes")=_xlfn.MINIFS($G$5:$G$60,$A$5:$A$60,$A29,$H$5:$H$60,"Yes"),1,($G29-_xlfn.MINIFS($G$5:$G$60,$A$5:$A$60,$A29,$H$5:$H$60,"Yes"))/(_xlfn.MAXIFS($G$5:$G$60,$A$5:$A$60,$A29,$H$5:$H$60,"Yes")-_xlfn.MINIFS($G$5:$G$60,$A$5:$A$60,$A29,$H$5:$H$60,"Yes"))),$G29/5))</f>
        <v>0.84</v>
      </c>
      <c r="P29" s="20" t="n">
        <f aca="false">IF(OR($H29&lt;&gt;"Yes",$M29=""),"",IF(_xlfn.MAXIFS($M$5:$M$60,$A$5:$A$60,$A29,$H$5:$H$60,"Yes")=_xlfn.MINIFS($M$5:$M$60,$A$5:$A$60,$A29,$H$5:$H$60,"Yes"),1,($M29-_xlfn.MINIFS($M$5:$M$60,$A$5:$A$60,$A29,$H$5:$H$60,"Yes"))/(_xlfn.MAXIFS($M$5:$M$60,$A$5:$A$60,$A29,$H$5:$H$60,"Yes")-_xlfn.MINIFS($M$5:$M$60,$A$5:$A$60,$A29,$H$5:$H$60,"Yes"))))</f>
        <v>1</v>
      </c>
      <c r="Q29" s="20" t="str">
        <f aca="false">IF(OR($H29&lt;&gt;"Yes",$J29=""),"",IF(_xlfn.MAXIFS($J$5:$J$60,$A$5:$A$60,$A29,$H$5:$H$60,"Yes")=_xlfn.MINIFS($J$5:$J$60,$A$5:$A$60,$A29,$H$5:$H$60,"Yes"),1,(_xlfn.MAXIFS($J$5:$J$60,$A$5:$A$60,$A29,$H$5:$H$60,"Yes")-$J29)/(_xlfn.MAXIFS($J$5:$J$60,$A$5:$A$60,$A29,$H$5:$H$60,"Yes")-_xlfn.MINIFS($J$5:$J$60,$A$5:$A$60,$A29,$H$5:$H$60,"Yes"))))</f>
        <v/>
      </c>
      <c r="R29" s="20" t="n">
        <f aca="false">IF($H29&lt;&gt;"Yes","",IFERROR(ROUND(100*(IF($N29="",0,Weights!$B$5*$N29)+IF($O29="",0,Weights!$B$6*$O29)+IF($P29="",0,Weights!$B$7*$P29)+IF($Q29="",0,Weights!$B$8*$Q29))/(IF($N29="",0,Weights!$B$5)+IF($O29="",0,Weights!$B$6)+IF($P29="",0,Weights!$B$7)+IF($Q29="",0,Weights!$B$8)),2),""))</f>
        <v>45.2</v>
      </c>
      <c r="S29" s="18" t="n">
        <f aca="false">IF($R29="","",COUNTIFS($A$5:$A$60,$A29,$R$5:$R$60,"&gt;"&amp;$R29)+1)</f>
        <v>3</v>
      </c>
      <c r="T29" s="18" t="n">
        <f aca="false">IF(OR($H29&lt;&gt;"Yes",$E29=""),"",COUNTIFS($A$5:$A$60,$A29,$H$5:$H$60,"Yes",$E$5:$E$60,"&lt;"&amp;$E29)+1)</f>
        <v>3</v>
      </c>
      <c r="U29" s="22" t="str">
        <f aca="false">IF($S29="","",$A29&amp;"|"&amp;$S29)</f>
        <v>9|3</v>
      </c>
      <c r="V29" s="22" t="str">
        <f aca="false">IF($T29="","",$A29&amp;"|"&amp;$T29)</f>
        <v>9|3</v>
      </c>
      <c r="W29" s="22" t="str">
        <f aca="false">IF($B29="","",$B29&amp;"|"&amp;$D29)</f>
        <v>Men's Running Sports Shoes|Amazon</v>
      </c>
    </row>
    <row r="30" customFormat="false" ht="15" hidden="false" customHeight="false" outlineLevel="0" collapsed="false">
      <c r="A30" s="17" t="n">
        <v>9</v>
      </c>
      <c r="B30" s="17" t="s">
        <v>68</v>
      </c>
      <c r="C30" s="17" t="s">
        <v>69</v>
      </c>
      <c r="D30" s="17" t="s">
        <v>18</v>
      </c>
      <c r="E30" s="23" t="n">
        <v>730</v>
      </c>
      <c r="F30" s="17" t="s">
        <v>56</v>
      </c>
      <c r="G30" s="24" t="n">
        <v>4</v>
      </c>
      <c r="H30" s="17" t="s">
        <v>53</v>
      </c>
      <c r="I30" s="25" t="n">
        <v>46312</v>
      </c>
      <c r="J30" s="17"/>
      <c r="K30" s="17"/>
      <c r="L30" s="26" t="s">
        <v>55</v>
      </c>
      <c r="M30" s="18" t="n">
        <f aca="false">IF($F30="","",IF(ISNUMBER(SEARCH("no warranty",$F30)),0,IF(ISNUMBER(SEARCH("year",$F30)),12*VALUE(LEFT($F30,FIND(" ",$F30)-1)),IF(ISNUMBER(SEARCH("month",$F30)),VALUE(LEFT($F30,FIND(" ",$F30)-1)),""))))</f>
        <v>0</v>
      </c>
      <c r="N30" s="20" t="n">
        <f aca="false">IF(OR($H30&lt;&gt;"Yes",$E30=""),"",IF(_xlfn.MAXIFS($E$5:$E$60,$A$5:$A$60,$A30,$H$5:$H$60,"Yes")=_xlfn.MINIFS($E$5:$E$60,$A$5:$A$60,$A30,$H$5:$H$60,"Yes"),1,(_xlfn.MAXIFS($E$5:$E$60,$A$5:$A$60,$A30,$H$5:$H$60,"Yes")-$E30)/(_xlfn.MAXIFS($E$5:$E$60,$A$5:$A$60,$A30,$H$5:$H$60,"Yes")-_xlfn.MINIFS($E$5:$E$60,$A$5:$A$60,$A30,$H$5:$H$60,"Yes"))))</f>
        <v>0.211475409836066</v>
      </c>
      <c r="O30" s="20" t="n">
        <f aca="false">IF(OR($H30&lt;&gt;"Yes",$G30=""),"",IF(Weights!$B$10="Relative",IF(_xlfn.MAXIFS($G$5:$G$60,$A$5:$A$60,$A30,$H$5:$H$60,"Yes")=_xlfn.MINIFS($G$5:$G$60,$A$5:$A$60,$A30,$H$5:$H$60,"Yes"),1,($G30-_xlfn.MINIFS($G$5:$G$60,$A$5:$A$60,$A30,$H$5:$H$60,"Yes"))/(_xlfn.MAXIFS($G$5:$G$60,$A$5:$A$60,$A30,$H$5:$H$60,"Yes")-_xlfn.MINIFS($G$5:$G$60,$A$5:$A$60,$A30,$H$5:$H$60,"Yes"))),$G30/5))</f>
        <v>0.8</v>
      </c>
      <c r="P30" s="20" t="n">
        <f aca="false">IF(OR($H30&lt;&gt;"Yes",$M30=""),"",IF(_xlfn.MAXIFS($M$5:$M$60,$A$5:$A$60,$A30,$H$5:$H$60,"Yes")=_xlfn.MINIFS($M$5:$M$60,$A$5:$A$60,$A30,$H$5:$H$60,"Yes"),1,($M30-_xlfn.MINIFS($M$5:$M$60,$A$5:$A$60,$A30,$H$5:$H$60,"Yes"))/(_xlfn.MAXIFS($M$5:$M$60,$A$5:$A$60,$A30,$H$5:$H$60,"Yes")-_xlfn.MINIFS($M$5:$M$60,$A$5:$A$60,$A30,$H$5:$H$60,"Yes"))))</f>
        <v>1</v>
      </c>
      <c r="Q30" s="20" t="str">
        <f aca="false">IF(OR($H30&lt;&gt;"Yes",$J30=""),"",IF(_xlfn.MAXIFS($J$5:$J$60,$A$5:$A$60,$A30,$H$5:$H$60,"Yes")=_xlfn.MINIFS($J$5:$J$60,$A$5:$A$60,$A30,$H$5:$H$60,"Yes"),1,(_xlfn.MAXIFS($J$5:$J$60,$A$5:$A$60,$A30,$H$5:$H$60,"Yes")-$J30)/(_xlfn.MAXIFS($J$5:$J$60,$A$5:$A$60,$A30,$H$5:$H$60,"Yes")-_xlfn.MINIFS($J$5:$J$60,$A$5:$A$60,$A30,$H$5:$H$60,"Yes"))))</f>
        <v/>
      </c>
      <c r="R30" s="20" t="n">
        <f aca="false">IF($H30&lt;&gt;"Yes","",IFERROR(ROUND(100*(IF($N30="",0,Weights!$B$5*$N30)+IF($O30="",0,Weights!$B$6*$O30)+IF($P30="",0,Weights!$B$7*$P30)+IF($Q30="",0,Weights!$B$8*$Q30))/(IF($N30="",0,Weights!$B$5)+IF($O30="",0,Weights!$B$6)+IF($P30="",0,Weights!$B$7)+IF($Q30="",0,Weights!$B$8)),2),""))</f>
        <v>54.57</v>
      </c>
      <c r="S30" s="18" t="n">
        <f aca="false">IF($R30="","",COUNTIFS($A$5:$A$60,$A30,$R$5:$R$60,"&gt;"&amp;$R30)+1)</f>
        <v>2</v>
      </c>
      <c r="T30" s="18" t="n">
        <f aca="false">IF(OR($H30&lt;&gt;"Yes",$E30=""),"",COUNTIFS($A$5:$A$60,$A30,$H$5:$H$60,"Yes",$E$5:$E$60,"&lt;"&amp;$E30)+1)</f>
        <v>2</v>
      </c>
      <c r="U30" s="22" t="str">
        <f aca="false">IF($S30="","",$A30&amp;"|"&amp;$S30)</f>
        <v>9|2</v>
      </c>
      <c r="V30" s="22" t="str">
        <f aca="false">IF($T30="","",$A30&amp;"|"&amp;$T30)</f>
        <v>9|2</v>
      </c>
      <c r="W30" s="22" t="str">
        <f aca="false">IF($B30="","",$B30&amp;"|"&amp;$D30)</f>
        <v>Men's Running Sports Shoes|Flipkart</v>
      </c>
    </row>
    <row r="31" customFormat="false" ht="15" hidden="false" customHeight="false" outlineLevel="0" collapsed="false">
      <c r="A31" s="17" t="n">
        <v>9</v>
      </c>
      <c r="B31" s="17" t="s">
        <v>68</v>
      </c>
      <c r="C31" s="17" t="s">
        <v>69</v>
      </c>
      <c r="D31" s="17" t="s">
        <v>19</v>
      </c>
      <c r="E31" s="23" t="n">
        <v>249</v>
      </c>
      <c r="F31" s="17" t="s">
        <v>56</v>
      </c>
      <c r="G31" s="24" t="n">
        <v>3.7</v>
      </c>
      <c r="H31" s="17" t="s">
        <v>53</v>
      </c>
      <c r="I31" s="25" t="n">
        <v>46312</v>
      </c>
      <c r="J31" s="17"/>
      <c r="K31" s="17"/>
      <c r="L31" s="26" t="s">
        <v>55</v>
      </c>
      <c r="M31" s="18" t="n">
        <f aca="false">IF($F31="","",IF(ISNUMBER(SEARCH("no warranty",$F31)),0,IF(ISNUMBER(SEARCH("year",$F31)),12*VALUE(LEFT($F31,FIND(" ",$F31)-1)),IF(ISNUMBER(SEARCH("month",$F31)),VALUE(LEFT($F31,FIND(" ",$F31)-1)),""))))</f>
        <v>0</v>
      </c>
      <c r="N31" s="20" t="n">
        <f aca="false">IF(OR($H31&lt;&gt;"Yes",$E31=""),"",IF(_xlfn.MAXIFS($E$5:$E$60,$A$5:$A$60,$A31,$H$5:$H$60,"Yes")=_xlfn.MINIFS($E$5:$E$60,$A$5:$A$60,$A31,$H$5:$H$60,"Yes"),1,(_xlfn.MAXIFS($E$5:$E$60,$A$5:$A$60,$A31,$H$5:$H$60,"Yes")-$E31)/(_xlfn.MAXIFS($E$5:$E$60,$A$5:$A$60,$A31,$H$5:$H$60,"Yes")-_xlfn.MINIFS($E$5:$E$60,$A$5:$A$60,$A31,$H$5:$H$60,"Yes"))))</f>
        <v>1</v>
      </c>
      <c r="O31" s="20" t="n">
        <f aca="false">IF(OR($H31&lt;&gt;"Yes",$G31=""),"",IF(Weights!$B$10="Relative",IF(_xlfn.MAXIFS($G$5:$G$60,$A$5:$A$60,$A31,$H$5:$H$60,"Yes")=_xlfn.MINIFS($G$5:$G$60,$A$5:$A$60,$A31,$H$5:$H$60,"Yes"),1,($G31-_xlfn.MINIFS($G$5:$G$60,$A$5:$A$60,$A31,$H$5:$H$60,"Yes"))/(_xlfn.MAXIFS($G$5:$G$60,$A$5:$A$60,$A31,$H$5:$H$60,"Yes")-_xlfn.MINIFS($G$5:$G$60,$A$5:$A$60,$A31,$H$5:$H$60,"Yes"))),$G31/5))</f>
        <v>0.74</v>
      </c>
      <c r="P31" s="20" t="n">
        <f aca="false">IF(OR($H31&lt;&gt;"Yes",$M31=""),"",IF(_xlfn.MAXIFS($M$5:$M$60,$A$5:$A$60,$A31,$H$5:$H$60,"Yes")=_xlfn.MINIFS($M$5:$M$60,$A$5:$A$60,$A31,$H$5:$H$60,"Yes"),1,($M31-_xlfn.MINIFS($M$5:$M$60,$A$5:$A$60,$A31,$H$5:$H$60,"Yes"))/(_xlfn.MAXIFS($M$5:$M$60,$A$5:$A$60,$A31,$H$5:$H$60,"Yes")-_xlfn.MINIFS($M$5:$M$60,$A$5:$A$60,$A31,$H$5:$H$60,"Yes"))))</f>
        <v>1</v>
      </c>
      <c r="Q31" s="20" t="str">
        <f aca="false">IF(OR($H31&lt;&gt;"Yes",$J31=""),"",IF(_xlfn.MAXIFS($J$5:$J$60,$A$5:$A$60,$A31,$H$5:$H$60,"Yes")=_xlfn.MINIFS($J$5:$J$60,$A$5:$A$60,$A31,$H$5:$H$60,"Yes"),1,(_xlfn.MAXIFS($J$5:$J$60,$A$5:$A$60,$A31,$H$5:$H$60,"Yes")-$J31)/(_xlfn.MAXIFS($J$5:$J$60,$A$5:$A$60,$A31,$H$5:$H$60,"Yes")-_xlfn.MINIFS($J$5:$J$60,$A$5:$A$60,$A31,$H$5:$H$60,"Yes"))))</f>
        <v/>
      </c>
      <c r="R31" s="20" t="n">
        <f aca="false">IF($H31&lt;&gt;"Yes","",IFERROR(ROUND(100*(IF($N31="",0,Weights!$B$5*$N31)+IF($O31="",0,Weights!$B$6*$O31)+IF($P31="",0,Weights!$B$7*$P31)+IF($Q31="",0,Weights!$B$8*$Q31))/(IF($N31="",0,Weights!$B$5)+IF($O31="",0,Weights!$B$6)+IF($P31="",0,Weights!$B$7)+IF($Q31="",0,Weights!$B$8)),2),""))</f>
        <v>92.2</v>
      </c>
      <c r="S31" s="18" t="n">
        <f aca="false">IF($R31="","",COUNTIFS($A$5:$A$60,$A31,$R$5:$R$60,"&gt;"&amp;$R31)+1)</f>
        <v>1</v>
      </c>
      <c r="T31" s="18" t="n">
        <f aca="false">IF(OR($H31&lt;&gt;"Yes",$E31=""),"",COUNTIFS($A$5:$A$60,$A31,$H$5:$H$60,"Yes",$E$5:$E$60,"&lt;"&amp;$E31)+1)</f>
        <v>1</v>
      </c>
      <c r="U31" s="22" t="str">
        <f aca="false">IF($S31="","",$A31&amp;"|"&amp;$S31)</f>
        <v>9|1</v>
      </c>
      <c r="V31" s="22" t="str">
        <f aca="false">IF($T31="","",$A31&amp;"|"&amp;$T31)</f>
        <v>9|1</v>
      </c>
      <c r="W31" s="22" t="str">
        <f aca="false">IF($B31="","",$B31&amp;"|"&amp;$D31)</f>
        <v>Men's Running Sports Shoes|Meesho</v>
      </c>
    </row>
    <row r="32" customFormat="false" ht="15" hidden="false" customHeight="false" outlineLevel="0" collapsed="false">
      <c r="A32" s="17" t="n">
        <v>10</v>
      </c>
      <c r="B32" s="17" t="s">
        <v>70</v>
      </c>
      <c r="C32" s="17" t="s">
        <v>69</v>
      </c>
      <c r="D32" s="17" t="s">
        <v>17</v>
      </c>
      <c r="E32" s="23" t="n">
        <v>250</v>
      </c>
      <c r="F32" s="17" t="s">
        <v>56</v>
      </c>
      <c r="G32" s="24" t="n">
        <v>3.8</v>
      </c>
      <c r="H32" s="17" t="s">
        <v>53</v>
      </c>
      <c r="I32" s="25" t="n">
        <v>46312</v>
      </c>
      <c r="J32" s="17"/>
      <c r="K32" s="26" t="s">
        <v>54</v>
      </c>
      <c r="L32" s="26" t="s">
        <v>55</v>
      </c>
      <c r="M32" s="18" t="n">
        <f aca="false">IF($F32="","",IF(ISNUMBER(SEARCH("no warranty",$F32)),0,IF(ISNUMBER(SEARCH("year",$F32)),12*VALUE(LEFT($F32,FIND(" ",$F32)-1)),IF(ISNUMBER(SEARCH("month",$F32)),VALUE(LEFT($F32,FIND(" ",$F32)-1)),""))))</f>
        <v>0</v>
      </c>
      <c r="N32" s="20" t="n">
        <f aca="false">IF(OR($H32&lt;&gt;"Yes",$E32=""),"",IF(_xlfn.MAXIFS($E$5:$E$60,$A$5:$A$60,$A32,$H$5:$H$60,"Yes")=_xlfn.MINIFS($E$5:$E$60,$A$5:$A$60,$A32,$H$5:$H$60,"Yes"),1,(_xlfn.MAXIFS($E$5:$E$60,$A$5:$A$60,$A32,$H$5:$H$60,"Yes")-$E32)/(_xlfn.MAXIFS($E$5:$E$60,$A$5:$A$60,$A32,$H$5:$H$60,"Yes")-_xlfn.MINIFS($E$5:$E$60,$A$5:$A$60,$A32,$H$5:$H$60,"Yes"))))</f>
        <v>0</v>
      </c>
      <c r="O32" s="20" t="n">
        <f aca="false">IF(OR($H32&lt;&gt;"Yes",$G32=""),"",IF(Weights!$B$10="Relative",IF(_xlfn.MAXIFS($G$5:$G$60,$A$5:$A$60,$A32,$H$5:$H$60,"Yes")=_xlfn.MINIFS($G$5:$G$60,$A$5:$A$60,$A32,$H$5:$H$60,"Yes"),1,($G32-_xlfn.MINIFS($G$5:$G$60,$A$5:$A$60,$A32,$H$5:$H$60,"Yes"))/(_xlfn.MAXIFS($G$5:$G$60,$A$5:$A$60,$A32,$H$5:$H$60,"Yes")-_xlfn.MINIFS($G$5:$G$60,$A$5:$A$60,$A32,$H$5:$H$60,"Yes"))),$G32/5))</f>
        <v>0.76</v>
      </c>
      <c r="P32" s="20" t="n">
        <f aca="false">IF(OR($H32&lt;&gt;"Yes",$M32=""),"",IF(_xlfn.MAXIFS($M$5:$M$60,$A$5:$A$60,$A32,$H$5:$H$60,"Yes")=_xlfn.MINIFS($M$5:$M$60,$A$5:$A$60,$A32,$H$5:$H$60,"Yes"),1,($M32-_xlfn.MINIFS($M$5:$M$60,$A$5:$A$60,$A32,$H$5:$H$60,"Yes"))/(_xlfn.MAXIFS($M$5:$M$60,$A$5:$A$60,$A32,$H$5:$H$60,"Yes")-_xlfn.MINIFS($M$5:$M$60,$A$5:$A$60,$A32,$H$5:$H$60,"Yes"))))</f>
        <v>1</v>
      </c>
      <c r="Q32" s="20" t="str">
        <f aca="false">IF(OR($H32&lt;&gt;"Yes",$J32=""),"",IF(_xlfn.MAXIFS($J$5:$J$60,$A$5:$A$60,$A32,$H$5:$H$60,"Yes")=_xlfn.MINIFS($J$5:$J$60,$A$5:$A$60,$A32,$H$5:$H$60,"Yes"),1,(_xlfn.MAXIFS($J$5:$J$60,$A$5:$A$60,$A32,$H$5:$H$60,"Yes")-$J32)/(_xlfn.MAXIFS($J$5:$J$60,$A$5:$A$60,$A32,$H$5:$H$60,"Yes")-_xlfn.MINIFS($J$5:$J$60,$A$5:$A$60,$A32,$H$5:$H$60,"Yes"))))</f>
        <v/>
      </c>
      <c r="R32" s="20" t="n">
        <f aca="false">IF($H32&lt;&gt;"Yes","",IFERROR(ROUND(100*(IF($N32="",0,Weights!$B$5*$N32)+IF($O32="",0,Weights!$B$6*$O32)+IF($P32="",0,Weights!$B$7*$P32)+IF($Q32="",0,Weights!$B$8*$Q32))/(IF($N32="",0,Weights!$B$5)+IF($O32="",0,Weights!$B$6)+IF($P32="",0,Weights!$B$7)+IF($Q32="",0,Weights!$B$8)),2),""))</f>
        <v>42.8</v>
      </c>
      <c r="S32" s="18" t="n">
        <f aca="false">IF($R32="","",COUNTIFS($A$5:$A$60,$A32,$R$5:$R$60,"&gt;"&amp;$R32)+1)</f>
        <v>3</v>
      </c>
      <c r="T32" s="18" t="n">
        <f aca="false">IF(OR($H32&lt;&gt;"Yes",$E32=""),"",COUNTIFS($A$5:$A$60,$A32,$H$5:$H$60,"Yes",$E$5:$E$60,"&lt;"&amp;$E32)+1)</f>
        <v>3</v>
      </c>
      <c r="U32" s="22" t="str">
        <f aca="false">IF($S32="","",$A32&amp;"|"&amp;$S32)</f>
        <v>10|3</v>
      </c>
      <c r="V32" s="22" t="str">
        <f aca="false">IF($T32="","",$A32&amp;"|"&amp;$T32)</f>
        <v>10|3</v>
      </c>
      <c r="W32" s="22" t="str">
        <f aca="false">IF($B32="","",$B32&amp;"|"&amp;$D32)</f>
        <v>Women's Flat Sandals|Amazon</v>
      </c>
    </row>
    <row r="33" customFormat="false" ht="15" hidden="false" customHeight="false" outlineLevel="0" collapsed="false">
      <c r="A33" s="17" t="n">
        <v>10</v>
      </c>
      <c r="B33" s="17" t="s">
        <v>70</v>
      </c>
      <c r="C33" s="17" t="s">
        <v>69</v>
      </c>
      <c r="D33" s="17" t="s">
        <v>18</v>
      </c>
      <c r="E33" s="23" t="n">
        <v>200</v>
      </c>
      <c r="F33" s="17" t="s">
        <v>56</v>
      </c>
      <c r="G33" s="24" t="n">
        <v>4.1</v>
      </c>
      <c r="H33" s="17" t="s">
        <v>53</v>
      </c>
      <c r="I33" s="25" t="n">
        <v>46312</v>
      </c>
      <c r="J33" s="17"/>
      <c r="K33" s="26" t="s">
        <v>54</v>
      </c>
      <c r="L33" s="26" t="s">
        <v>55</v>
      </c>
      <c r="M33" s="18" t="n">
        <f aca="false">IF($F33="","",IF(ISNUMBER(SEARCH("no warranty",$F33)),0,IF(ISNUMBER(SEARCH("year",$F33)),12*VALUE(LEFT($F33,FIND(" ",$F33)-1)),IF(ISNUMBER(SEARCH("month",$F33)),VALUE(LEFT($F33,FIND(" ",$F33)-1)),""))))</f>
        <v>0</v>
      </c>
      <c r="N33" s="20" t="n">
        <f aca="false">IF(OR($H33&lt;&gt;"Yes",$E33=""),"",IF(_xlfn.MAXIFS($E$5:$E$60,$A$5:$A$60,$A33,$H$5:$H$60,"Yes")=_xlfn.MINIFS($E$5:$E$60,$A$5:$A$60,$A33,$H$5:$H$60,"Yes"),1,(_xlfn.MAXIFS($E$5:$E$60,$A$5:$A$60,$A33,$H$5:$H$60,"Yes")-$E33)/(_xlfn.MAXIFS($E$5:$E$60,$A$5:$A$60,$A33,$H$5:$H$60,"Yes")-_xlfn.MINIFS($E$5:$E$60,$A$5:$A$60,$A33,$H$5:$H$60,"Yes"))))</f>
        <v>0.5</v>
      </c>
      <c r="O33" s="20" t="n">
        <f aca="false">IF(OR($H33&lt;&gt;"Yes",$G33=""),"",IF(Weights!$B$10="Relative",IF(_xlfn.MAXIFS($G$5:$G$60,$A$5:$A$60,$A33,$H$5:$H$60,"Yes")=_xlfn.MINIFS($G$5:$G$60,$A$5:$A$60,$A33,$H$5:$H$60,"Yes"),1,($G33-_xlfn.MINIFS($G$5:$G$60,$A$5:$A$60,$A33,$H$5:$H$60,"Yes"))/(_xlfn.MAXIFS($G$5:$G$60,$A$5:$A$60,$A33,$H$5:$H$60,"Yes")-_xlfn.MINIFS($G$5:$G$60,$A$5:$A$60,$A33,$H$5:$H$60,"Yes"))),$G33/5))</f>
        <v>0.82</v>
      </c>
      <c r="P33" s="20" t="n">
        <f aca="false">IF(OR($H33&lt;&gt;"Yes",$M33=""),"",IF(_xlfn.MAXIFS($M$5:$M$60,$A$5:$A$60,$A33,$H$5:$H$60,"Yes")=_xlfn.MINIFS($M$5:$M$60,$A$5:$A$60,$A33,$H$5:$H$60,"Yes"),1,($M33-_xlfn.MINIFS($M$5:$M$60,$A$5:$A$60,$A33,$H$5:$H$60,"Yes"))/(_xlfn.MAXIFS($M$5:$M$60,$A$5:$A$60,$A33,$H$5:$H$60,"Yes")-_xlfn.MINIFS($M$5:$M$60,$A$5:$A$60,$A33,$H$5:$H$60,"Yes"))))</f>
        <v>1</v>
      </c>
      <c r="Q33" s="20" t="str">
        <f aca="false">IF(OR($H33&lt;&gt;"Yes",$J33=""),"",IF(_xlfn.MAXIFS($J$5:$J$60,$A$5:$A$60,$A33,$H$5:$H$60,"Yes")=_xlfn.MINIFS($J$5:$J$60,$A$5:$A$60,$A33,$H$5:$H$60,"Yes"),1,(_xlfn.MAXIFS($J$5:$J$60,$A$5:$A$60,$A33,$H$5:$H$60,"Yes")-$J33)/(_xlfn.MAXIFS($J$5:$J$60,$A$5:$A$60,$A33,$H$5:$H$60,"Yes")-_xlfn.MINIFS($J$5:$J$60,$A$5:$A$60,$A33,$H$5:$H$60,"Yes"))))</f>
        <v/>
      </c>
      <c r="R33" s="20" t="n">
        <f aca="false">IF($H33&lt;&gt;"Yes","",IFERROR(ROUND(100*(IF($N33="",0,Weights!$B$5*$N33)+IF($O33="",0,Weights!$B$6*$O33)+IF($P33="",0,Weights!$B$7*$P33)+IF($Q33="",0,Weights!$B$8*$Q33))/(IF($N33="",0,Weights!$B$5)+IF($O33="",0,Weights!$B$6)+IF($P33="",0,Weights!$B$7)+IF($Q33="",0,Weights!$B$8)),2),""))</f>
        <v>69.6</v>
      </c>
      <c r="S33" s="18" t="n">
        <f aca="false">IF($R33="","",COUNTIFS($A$5:$A$60,$A33,$R$5:$R$60,"&gt;"&amp;$R33)+1)</f>
        <v>2</v>
      </c>
      <c r="T33" s="18" t="n">
        <f aca="false">IF(OR($H33&lt;&gt;"Yes",$E33=""),"",COUNTIFS($A$5:$A$60,$A33,$H$5:$H$60,"Yes",$E$5:$E$60,"&lt;"&amp;$E33)+1)</f>
        <v>2</v>
      </c>
      <c r="U33" s="22" t="str">
        <f aca="false">IF($S33="","",$A33&amp;"|"&amp;$S33)</f>
        <v>10|2</v>
      </c>
      <c r="V33" s="22" t="str">
        <f aca="false">IF($T33="","",$A33&amp;"|"&amp;$T33)</f>
        <v>10|2</v>
      </c>
      <c r="W33" s="22" t="str">
        <f aca="false">IF($B33="","",$B33&amp;"|"&amp;$D33)</f>
        <v>Women's Flat Sandals|Flipkart</v>
      </c>
    </row>
    <row r="34" customFormat="false" ht="15" hidden="false" customHeight="false" outlineLevel="0" collapsed="false">
      <c r="A34" s="17" t="n">
        <v>10</v>
      </c>
      <c r="B34" s="17" t="s">
        <v>70</v>
      </c>
      <c r="C34" s="17" t="s">
        <v>69</v>
      </c>
      <c r="D34" s="17" t="s">
        <v>19</v>
      </c>
      <c r="E34" s="23" t="n">
        <v>150</v>
      </c>
      <c r="F34" s="17" t="s">
        <v>56</v>
      </c>
      <c r="G34" s="24" t="n">
        <v>4</v>
      </c>
      <c r="H34" s="17" t="s">
        <v>53</v>
      </c>
      <c r="I34" s="25" t="n">
        <v>46312</v>
      </c>
      <c r="J34" s="17"/>
      <c r="K34" s="26" t="s">
        <v>54</v>
      </c>
      <c r="L34" s="26" t="s">
        <v>55</v>
      </c>
      <c r="M34" s="18" t="n">
        <f aca="false">IF($F34="","",IF(ISNUMBER(SEARCH("no warranty",$F34)),0,IF(ISNUMBER(SEARCH("year",$F34)),12*VALUE(LEFT($F34,FIND(" ",$F34)-1)),IF(ISNUMBER(SEARCH("month",$F34)),VALUE(LEFT($F34,FIND(" ",$F34)-1)),""))))</f>
        <v>0</v>
      </c>
      <c r="N34" s="20" t="n">
        <f aca="false">IF(OR($H34&lt;&gt;"Yes",$E34=""),"",IF(_xlfn.MAXIFS($E$5:$E$60,$A$5:$A$60,$A34,$H$5:$H$60,"Yes")=_xlfn.MINIFS($E$5:$E$60,$A$5:$A$60,$A34,$H$5:$H$60,"Yes"),1,(_xlfn.MAXIFS($E$5:$E$60,$A$5:$A$60,$A34,$H$5:$H$60,"Yes")-$E34)/(_xlfn.MAXIFS($E$5:$E$60,$A$5:$A$60,$A34,$H$5:$H$60,"Yes")-_xlfn.MINIFS($E$5:$E$60,$A$5:$A$60,$A34,$H$5:$H$60,"Yes"))))</f>
        <v>1</v>
      </c>
      <c r="O34" s="20" t="n">
        <f aca="false">IF(OR($H34&lt;&gt;"Yes",$G34=""),"",IF(Weights!$B$10="Relative",IF(_xlfn.MAXIFS($G$5:$G$60,$A$5:$A$60,$A34,$H$5:$H$60,"Yes")=_xlfn.MINIFS($G$5:$G$60,$A$5:$A$60,$A34,$H$5:$H$60,"Yes"),1,($G34-_xlfn.MINIFS($G$5:$G$60,$A$5:$A$60,$A34,$H$5:$H$60,"Yes"))/(_xlfn.MAXIFS($G$5:$G$60,$A$5:$A$60,$A34,$H$5:$H$60,"Yes")-_xlfn.MINIFS($G$5:$G$60,$A$5:$A$60,$A34,$H$5:$H$60,"Yes"))),$G34/5))</f>
        <v>0.8</v>
      </c>
      <c r="P34" s="20" t="n">
        <f aca="false">IF(OR($H34&lt;&gt;"Yes",$M34=""),"",IF(_xlfn.MAXIFS($M$5:$M$60,$A$5:$A$60,$A34,$H$5:$H$60,"Yes")=_xlfn.MINIFS($M$5:$M$60,$A$5:$A$60,$A34,$H$5:$H$60,"Yes"),1,($M34-_xlfn.MINIFS($M$5:$M$60,$A$5:$A$60,$A34,$H$5:$H$60,"Yes"))/(_xlfn.MAXIFS($M$5:$M$60,$A$5:$A$60,$A34,$H$5:$H$60,"Yes")-_xlfn.MINIFS($M$5:$M$60,$A$5:$A$60,$A34,$H$5:$H$60,"Yes"))))</f>
        <v>1</v>
      </c>
      <c r="Q34" s="20" t="str">
        <f aca="false">IF(OR($H34&lt;&gt;"Yes",$J34=""),"",IF(_xlfn.MAXIFS($J$5:$J$60,$A$5:$A$60,$A34,$H$5:$H$60,"Yes")=_xlfn.MINIFS($J$5:$J$60,$A$5:$A$60,$A34,$H$5:$H$60,"Yes"),1,(_xlfn.MAXIFS($J$5:$J$60,$A$5:$A$60,$A34,$H$5:$H$60,"Yes")-$J34)/(_xlfn.MAXIFS($J$5:$J$60,$A$5:$A$60,$A34,$H$5:$H$60,"Yes")-_xlfn.MINIFS($J$5:$J$60,$A$5:$A$60,$A34,$H$5:$H$60,"Yes"))))</f>
        <v/>
      </c>
      <c r="R34" s="20" t="n">
        <f aca="false">IF($H34&lt;&gt;"Yes","",IFERROR(ROUND(100*(IF($N34="",0,Weights!$B$5*$N34)+IF($O34="",0,Weights!$B$6*$O34)+IF($P34="",0,Weights!$B$7*$P34)+IF($Q34="",0,Weights!$B$8*$Q34))/(IF($N34="",0,Weights!$B$5)+IF($O34="",0,Weights!$B$6)+IF($P34="",0,Weights!$B$7)+IF($Q34="",0,Weights!$B$8)),2),""))</f>
        <v>94</v>
      </c>
      <c r="S34" s="18" t="n">
        <f aca="false">IF($R34="","",COUNTIFS($A$5:$A$60,$A34,$R$5:$R$60,"&gt;"&amp;$R34)+1)</f>
        <v>1</v>
      </c>
      <c r="T34" s="18" t="n">
        <f aca="false">IF(OR($H34&lt;&gt;"Yes",$E34=""),"",COUNTIFS($A$5:$A$60,$A34,$H$5:$H$60,"Yes",$E$5:$E$60,"&lt;"&amp;$E34)+1)</f>
        <v>1</v>
      </c>
      <c r="U34" s="22" t="str">
        <f aca="false">IF($S34="","",$A34&amp;"|"&amp;$S34)</f>
        <v>10|1</v>
      </c>
      <c r="V34" s="22" t="str">
        <f aca="false">IF($T34="","",$A34&amp;"|"&amp;$T34)</f>
        <v>10|1</v>
      </c>
      <c r="W34" s="22" t="str">
        <f aca="false">IF($B34="","",$B34&amp;"|"&amp;$D34)</f>
        <v>Women's Flat Sandals|Meesho</v>
      </c>
    </row>
    <row r="35" customFormat="false" ht="15" hidden="false" customHeight="false" outlineLevel="0" collapsed="false">
      <c r="A35" s="17" t="n">
        <v>11</v>
      </c>
      <c r="B35" s="17" t="s">
        <v>71</v>
      </c>
      <c r="C35" s="17" t="s">
        <v>72</v>
      </c>
      <c r="D35" s="17" t="s">
        <v>17</v>
      </c>
      <c r="E35" s="23" t="n">
        <v>1995</v>
      </c>
      <c r="F35" s="17" t="s">
        <v>73</v>
      </c>
      <c r="G35" s="24" t="n">
        <v>4.1</v>
      </c>
      <c r="H35" s="17" t="s">
        <v>53</v>
      </c>
      <c r="I35" s="25" t="n">
        <v>46312</v>
      </c>
      <c r="J35" s="17"/>
      <c r="K35" s="26" t="s">
        <v>54</v>
      </c>
      <c r="L35" s="26" t="s">
        <v>55</v>
      </c>
      <c r="M35" s="18" t="n">
        <f aca="false">IF($F35="","",IF(ISNUMBER(SEARCH("no warranty",$F35)),0,IF(ISNUMBER(SEARCH("year",$F35)),12*VALUE(LEFT($F35,FIND(" ",$F35)-1)),IF(ISNUMBER(SEARCH("month",$F35)),VALUE(LEFT($F35,FIND(" ",$F35)-1)),""))))</f>
        <v>24</v>
      </c>
      <c r="N35" s="20" t="n">
        <f aca="false">IF(OR($H35&lt;&gt;"Yes",$E35=""),"",IF(_xlfn.MAXIFS($E$5:$E$60,$A$5:$A$60,$A35,$H$5:$H$60,"Yes")=_xlfn.MINIFS($E$5:$E$60,$A$5:$A$60,$A35,$H$5:$H$60,"Yes"),1,(_xlfn.MAXIFS($E$5:$E$60,$A$5:$A$60,$A35,$H$5:$H$60,"Yes")-$E35)/(_xlfn.MAXIFS($E$5:$E$60,$A$5:$A$60,$A35,$H$5:$H$60,"Yes")-_xlfn.MINIFS($E$5:$E$60,$A$5:$A$60,$A35,$H$5:$H$60,"Yes"))))</f>
        <v>1</v>
      </c>
      <c r="O35" s="20" t="n">
        <f aca="false">IF(OR($H35&lt;&gt;"Yes",$G35=""),"",IF(Weights!$B$10="Relative",IF(_xlfn.MAXIFS($G$5:$G$60,$A$5:$A$60,$A35,$H$5:$H$60,"Yes")=_xlfn.MINIFS($G$5:$G$60,$A$5:$A$60,$A35,$H$5:$H$60,"Yes"),1,($G35-_xlfn.MINIFS($G$5:$G$60,$A$5:$A$60,$A35,$H$5:$H$60,"Yes"))/(_xlfn.MAXIFS($G$5:$G$60,$A$5:$A$60,$A35,$H$5:$H$60,"Yes")-_xlfn.MINIFS($G$5:$G$60,$A$5:$A$60,$A35,$H$5:$H$60,"Yes"))),$G35/5))</f>
        <v>0.82</v>
      </c>
      <c r="P35" s="20" t="n">
        <f aca="false">IF(OR($H35&lt;&gt;"Yes",$M35=""),"",IF(_xlfn.MAXIFS($M$5:$M$60,$A$5:$A$60,$A35,$H$5:$H$60,"Yes")=_xlfn.MINIFS($M$5:$M$60,$A$5:$A$60,$A35,$H$5:$H$60,"Yes"),1,($M35-_xlfn.MINIFS($M$5:$M$60,$A$5:$A$60,$A35,$H$5:$H$60,"Yes"))/(_xlfn.MAXIFS($M$5:$M$60,$A$5:$A$60,$A35,$H$5:$H$60,"Yes")-_xlfn.MINIFS($M$5:$M$60,$A$5:$A$60,$A35,$H$5:$H$60,"Yes"))))</f>
        <v>1</v>
      </c>
      <c r="Q35" s="20" t="str">
        <f aca="false">IF(OR($H35&lt;&gt;"Yes",$J35=""),"",IF(_xlfn.MAXIFS($J$5:$J$60,$A$5:$A$60,$A35,$H$5:$H$60,"Yes")=_xlfn.MINIFS($J$5:$J$60,$A$5:$A$60,$A35,$H$5:$H$60,"Yes"),1,(_xlfn.MAXIFS($J$5:$J$60,$A$5:$A$60,$A35,$H$5:$H$60,"Yes")-$J35)/(_xlfn.MAXIFS($J$5:$J$60,$A$5:$A$60,$A35,$H$5:$H$60,"Yes")-_xlfn.MINIFS($J$5:$J$60,$A$5:$A$60,$A35,$H$5:$H$60,"Yes"))))</f>
        <v/>
      </c>
      <c r="R35" s="20" t="n">
        <f aca="false">IF($H35&lt;&gt;"Yes","",IFERROR(ROUND(100*(IF($N35="",0,Weights!$B$5*$N35)+IF($O35="",0,Weights!$B$6*$O35)+IF($P35="",0,Weights!$B$7*$P35)+IF($Q35="",0,Weights!$B$8*$Q35))/(IF($N35="",0,Weights!$B$5)+IF($O35="",0,Weights!$B$6)+IF($P35="",0,Weights!$B$7)+IF($Q35="",0,Weights!$B$8)),2),""))</f>
        <v>94.6</v>
      </c>
      <c r="S35" s="18" t="n">
        <f aca="false">IF($R35="","",COUNTIFS($A$5:$A$60,$A35,$R$5:$R$60,"&gt;"&amp;$R35)+1)</f>
        <v>1</v>
      </c>
      <c r="T35" s="18" t="n">
        <f aca="false">IF(OR($H35&lt;&gt;"Yes",$E35=""),"",COUNTIFS($A$5:$A$60,$A35,$H$5:$H$60,"Yes",$E$5:$E$60,"&lt;"&amp;$E35)+1)</f>
        <v>1</v>
      </c>
      <c r="U35" s="22" t="str">
        <f aca="false">IF($S35="","",$A35&amp;"|"&amp;$S35)</f>
        <v>11|1</v>
      </c>
      <c r="V35" s="22" t="str">
        <f aca="false">IF($T35="","",$A35&amp;"|"&amp;$T35)</f>
        <v>11|1</v>
      </c>
      <c r="W35" s="22" t="str">
        <f aca="false">IF($B35="","",$B35&amp;"|"&amp;$D35)</f>
        <v>Women's Analog Wrist Watch Metal Strap|Amazon</v>
      </c>
    </row>
    <row r="36" customFormat="false" ht="15" hidden="false" customHeight="false" outlineLevel="0" collapsed="false">
      <c r="A36" s="17" t="n">
        <v>11</v>
      </c>
      <c r="B36" s="17" t="s">
        <v>71</v>
      </c>
      <c r="C36" s="17" t="s">
        <v>72</v>
      </c>
      <c r="D36" s="17" t="s">
        <v>18</v>
      </c>
      <c r="E36" s="23" t="n">
        <v>2200</v>
      </c>
      <c r="F36" s="17" t="s">
        <v>60</v>
      </c>
      <c r="G36" s="24" t="n">
        <v>4.3</v>
      </c>
      <c r="H36" s="17" t="s">
        <v>53</v>
      </c>
      <c r="I36" s="25" t="n">
        <v>46312</v>
      </c>
      <c r="J36" s="17"/>
      <c r="K36" s="26" t="s">
        <v>54</v>
      </c>
      <c r="L36" s="26" t="s">
        <v>55</v>
      </c>
      <c r="M36" s="18" t="n">
        <f aca="false">IF($F36="","",IF(ISNUMBER(SEARCH("no warranty",$F36)),0,IF(ISNUMBER(SEARCH("year",$F36)),12*VALUE(LEFT($F36,FIND(" ",$F36)-1)),IF(ISNUMBER(SEARCH("month",$F36)),VALUE(LEFT($F36,FIND(" ",$F36)-1)),""))))</f>
        <v>12</v>
      </c>
      <c r="N36" s="20" t="n">
        <f aca="false">IF(OR($H36&lt;&gt;"Yes",$E36=""),"",IF(_xlfn.MAXIFS($E$5:$E$60,$A$5:$A$60,$A36,$H$5:$H$60,"Yes")=_xlfn.MINIFS($E$5:$E$60,$A$5:$A$60,$A36,$H$5:$H$60,"Yes"),1,(_xlfn.MAXIFS($E$5:$E$60,$A$5:$A$60,$A36,$H$5:$H$60,"Yes")-$E36)/(_xlfn.MAXIFS($E$5:$E$60,$A$5:$A$60,$A36,$H$5:$H$60,"Yes")-_xlfn.MINIFS($E$5:$E$60,$A$5:$A$60,$A36,$H$5:$H$60,"Yes"))))</f>
        <v>0</v>
      </c>
      <c r="O36" s="20" t="n">
        <f aca="false">IF(OR($H36&lt;&gt;"Yes",$G36=""),"",IF(Weights!$B$10="Relative",IF(_xlfn.MAXIFS($G$5:$G$60,$A$5:$A$60,$A36,$H$5:$H$60,"Yes")=_xlfn.MINIFS($G$5:$G$60,$A$5:$A$60,$A36,$H$5:$H$60,"Yes"),1,($G36-_xlfn.MINIFS($G$5:$G$60,$A$5:$A$60,$A36,$H$5:$H$60,"Yes"))/(_xlfn.MAXIFS($G$5:$G$60,$A$5:$A$60,$A36,$H$5:$H$60,"Yes")-_xlfn.MINIFS($G$5:$G$60,$A$5:$A$60,$A36,$H$5:$H$60,"Yes"))),$G36/5))</f>
        <v>0.86</v>
      </c>
      <c r="P36" s="20" t="n">
        <f aca="false">IF(OR($H36&lt;&gt;"Yes",$M36=""),"",IF(_xlfn.MAXIFS($M$5:$M$60,$A$5:$A$60,$A36,$H$5:$H$60,"Yes")=_xlfn.MINIFS($M$5:$M$60,$A$5:$A$60,$A36,$H$5:$H$60,"Yes"),1,($M36-_xlfn.MINIFS($M$5:$M$60,$A$5:$A$60,$A36,$H$5:$H$60,"Yes"))/(_xlfn.MAXIFS($M$5:$M$60,$A$5:$A$60,$A36,$H$5:$H$60,"Yes")-_xlfn.MINIFS($M$5:$M$60,$A$5:$A$60,$A36,$H$5:$H$60,"Yes"))))</f>
        <v>0</v>
      </c>
      <c r="Q36" s="20" t="str">
        <f aca="false">IF(OR($H36&lt;&gt;"Yes",$J36=""),"",IF(_xlfn.MAXIFS($J$5:$J$60,$A$5:$A$60,$A36,$H$5:$H$60,"Yes")=_xlfn.MINIFS($J$5:$J$60,$A$5:$A$60,$A36,$H$5:$H$60,"Yes"),1,(_xlfn.MAXIFS($J$5:$J$60,$A$5:$A$60,$A36,$H$5:$H$60,"Yes")-$J36)/(_xlfn.MAXIFS($J$5:$J$60,$A$5:$A$60,$A36,$H$5:$H$60,"Yes")-_xlfn.MINIFS($J$5:$J$60,$A$5:$A$60,$A36,$H$5:$H$60,"Yes"))))</f>
        <v/>
      </c>
      <c r="R36" s="20" t="n">
        <f aca="false">IF($H36&lt;&gt;"Yes","",IFERROR(ROUND(100*(IF($N36="",0,Weights!$B$5*$N36)+IF($O36="",0,Weights!$B$6*$O36)+IF($P36="",0,Weights!$B$7*$P36)+IF($Q36="",0,Weights!$B$8*$Q36))/(IF($N36="",0,Weights!$B$5)+IF($O36="",0,Weights!$B$6)+IF($P36="",0,Weights!$B$7)+IF($Q36="",0,Weights!$B$8)),2),""))</f>
        <v>25.8</v>
      </c>
      <c r="S36" s="18" t="n">
        <f aca="false">IF($R36="","",COUNTIFS($A$5:$A$60,$A36,$R$5:$R$60,"&gt;"&amp;$R36)+1)</f>
        <v>2</v>
      </c>
      <c r="T36" s="18" t="n">
        <f aca="false">IF(OR($H36&lt;&gt;"Yes",$E36=""),"",COUNTIFS($A$5:$A$60,$A36,$H$5:$H$60,"Yes",$E$5:$E$60,"&lt;"&amp;$E36)+1)</f>
        <v>2</v>
      </c>
      <c r="U36" s="22" t="str">
        <f aca="false">IF($S36="","",$A36&amp;"|"&amp;$S36)</f>
        <v>11|2</v>
      </c>
      <c r="V36" s="22" t="str">
        <f aca="false">IF($T36="","",$A36&amp;"|"&amp;$T36)</f>
        <v>11|2</v>
      </c>
      <c r="W36" s="22" t="str">
        <f aca="false">IF($B36="","",$B36&amp;"|"&amp;$D36)</f>
        <v>Women's Analog Wrist Watch Metal Strap|Flipkart</v>
      </c>
    </row>
    <row r="37" customFormat="false" ht="15" hidden="false" customHeight="false" outlineLevel="0" collapsed="false">
      <c r="A37" s="17" t="n">
        <v>11</v>
      </c>
      <c r="B37" s="17" t="s">
        <v>71</v>
      </c>
      <c r="C37" s="17" t="s">
        <v>72</v>
      </c>
      <c r="D37" s="17" t="s">
        <v>19</v>
      </c>
      <c r="E37" s="23" t="n">
        <v>1700</v>
      </c>
      <c r="F37" s="17" t="s">
        <v>60</v>
      </c>
      <c r="G37" s="24" t="n">
        <v>4.2</v>
      </c>
      <c r="H37" s="17" t="s">
        <v>67</v>
      </c>
      <c r="I37" s="25" t="n">
        <v>46312</v>
      </c>
      <c r="J37" s="17"/>
      <c r="K37" s="17"/>
      <c r="L37" s="26" t="s">
        <v>55</v>
      </c>
      <c r="M37" s="18" t="n">
        <f aca="false">IF($F37="","",IF(ISNUMBER(SEARCH("no warranty",$F37)),0,IF(ISNUMBER(SEARCH("year",$F37)),12*VALUE(LEFT($F37,FIND(" ",$F37)-1)),IF(ISNUMBER(SEARCH("month",$F37)),VALUE(LEFT($F37,FIND(" ",$F37)-1)),""))))</f>
        <v>12</v>
      </c>
      <c r="N37" s="20" t="str">
        <f aca="false">IF(OR($H37&lt;&gt;"Yes",$E37=""),"",IF(_xlfn.MAXIFS($E$5:$E$60,$A$5:$A$60,$A37,$H$5:$H$60,"Yes")=_xlfn.MINIFS($E$5:$E$60,$A$5:$A$60,$A37,$H$5:$H$60,"Yes"),1,(_xlfn.MAXIFS($E$5:$E$60,$A$5:$A$60,$A37,$H$5:$H$60,"Yes")-$E37)/(_xlfn.MAXIFS($E$5:$E$60,$A$5:$A$60,$A37,$H$5:$H$60,"Yes")-_xlfn.MINIFS($E$5:$E$60,$A$5:$A$60,$A37,$H$5:$H$60,"Yes"))))</f>
        <v/>
      </c>
      <c r="O37" s="20" t="str">
        <f aca="false">IF(OR($H37&lt;&gt;"Yes",$G37=""),"",IF(Weights!$B$10="Relative",IF(_xlfn.MAXIFS($G$5:$G$60,$A$5:$A$60,$A37,$H$5:$H$60,"Yes")=_xlfn.MINIFS($G$5:$G$60,$A$5:$A$60,$A37,$H$5:$H$60,"Yes"),1,($G37-_xlfn.MINIFS($G$5:$G$60,$A$5:$A$60,$A37,$H$5:$H$60,"Yes"))/(_xlfn.MAXIFS($G$5:$G$60,$A$5:$A$60,$A37,$H$5:$H$60,"Yes")-_xlfn.MINIFS($G$5:$G$60,$A$5:$A$60,$A37,$H$5:$H$60,"Yes"))),$G37/5))</f>
        <v/>
      </c>
      <c r="P37" s="20" t="str">
        <f aca="false">IF(OR($H37&lt;&gt;"Yes",$M37=""),"",IF(_xlfn.MAXIFS($M$5:$M$60,$A$5:$A$60,$A37,$H$5:$H$60,"Yes")=_xlfn.MINIFS($M$5:$M$60,$A$5:$A$60,$A37,$H$5:$H$60,"Yes"),1,($M37-_xlfn.MINIFS($M$5:$M$60,$A$5:$A$60,$A37,$H$5:$H$60,"Yes"))/(_xlfn.MAXIFS($M$5:$M$60,$A$5:$A$60,$A37,$H$5:$H$60,"Yes")-_xlfn.MINIFS($M$5:$M$60,$A$5:$A$60,$A37,$H$5:$H$60,"Yes"))))</f>
        <v/>
      </c>
      <c r="Q37" s="20" t="str">
        <f aca="false">IF(OR($H37&lt;&gt;"Yes",$J37=""),"",IF(_xlfn.MAXIFS($J$5:$J$60,$A$5:$A$60,$A37,$H$5:$H$60,"Yes")=_xlfn.MINIFS($J$5:$J$60,$A$5:$A$60,$A37,$H$5:$H$60,"Yes"),1,(_xlfn.MAXIFS($J$5:$J$60,$A$5:$A$60,$A37,$H$5:$H$60,"Yes")-$J37)/(_xlfn.MAXIFS($J$5:$J$60,$A$5:$A$60,$A37,$H$5:$H$60,"Yes")-_xlfn.MINIFS($J$5:$J$60,$A$5:$A$60,$A37,$H$5:$H$60,"Yes"))))</f>
        <v/>
      </c>
      <c r="R37" s="20" t="str">
        <f aca="false">IF($H37&lt;&gt;"Yes","",IFERROR(ROUND(100*(IF($N37="",0,Weights!$B$5*$N37)+IF($O37="",0,Weights!$B$6*$O37)+IF($P37="",0,Weights!$B$7*$P37)+IF($Q37="",0,Weights!$B$8*$Q37))/(IF($N37="",0,Weights!$B$5)+IF($O37="",0,Weights!$B$6)+IF($P37="",0,Weights!$B$7)+IF($Q37="",0,Weights!$B$8)),2),""))</f>
        <v/>
      </c>
      <c r="S37" s="18" t="str">
        <f aca="false">IF($R37="","",COUNTIFS($A$5:$A$60,$A37,$R$5:$R$60,"&gt;"&amp;$R37)+1)</f>
        <v/>
      </c>
      <c r="T37" s="18" t="str">
        <f aca="false">IF(OR($H37&lt;&gt;"Yes",$E37=""),"",COUNTIFS($A$5:$A$60,$A37,$H$5:$H$60,"Yes",$E$5:$E$60,"&lt;"&amp;$E37)+1)</f>
        <v/>
      </c>
      <c r="U37" s="22" t="str">
        <f aca="false">IF($S37="","",$A37&amp;"|"&amp;$S37)</f>
        <v/>
      </c>
      <c r="V37" s="22" t="str">
        <f aca="false">IF($T37="","",$A37&amp;"|"&amp;$T37)</f>
        <v/>
      </c>
      <c r="W37" s="22" t="str">
        <f aca="false">IF($B37="","",$B37&amp;"|"&amp;$D37)</f>
        <v>Women's Analog Wrist Watch Metal Strap|Meesho</v>
      </c>
    </row>
    <row r="38" customFormat="false" ht="15" hidden="false" customHeight="false" outlineLevel="0" collapsed="false">
      <c r="A38" s="17" t="n">
        <v>12</v>
      </c>
      <c r="B38" s="17" t="s">
        <v>74</v>
      </c>
      <c r="C38" s="17" t="s">
        <v>72</v>
      </c>
      <c r="D38" s="17" t="s">
        <v>17</v>
      </c>
      <c r="E38" s="23" t="n">
        <v>260</v>
      </c>
      <c r="F38" s="17" t="s">
        <v>56</v>
      </c>
      <c r="G38" s="24" t="n">
        <v>3.5</v>
      </c>
      <c r="H38" s="17" t="s">
        <v>53</v>
      </c>
      <c r="I38" s="25" t="n">
        <v>46312</v>
      </c>
      <c r="J38" s="17"/>
      <c r="K38" s="26" t="s">
        <v>54</v>
      </c>
      <c r="L38" s="26" t="s">
        <v>55</v>
      </c>
      <c r="M38" s="18" t="n">
        <f aca="false">IF($F38="","",IF(ISNUMBER(SEARCH("no warranty",$F38)),0,IF(ISNUMBER(SEARCH("year",$F38)),12*VALUE(LEFT($F38,FIND(" ",$F38)-1)),IF(ISNUMBER(SEARCH("month",$F38)),VALUE(LEFT($F38,FIND(" ",$F38)-1)),""))))</f>
        <v>0</v>
      </c>
      <c r="N38" s="20" t="n">
        <f aca="false">IF(OR($H38&lt;&gt;"Yes",$E38=""),"",IF(_xlfn.MAXIFS($E$5:$E$60,$A$5:$A$60,$A38,$H$5:$H$60,"Yes")=_xlfn.MINIFS($E$5:$E$60,$A$5:$A$60,$A38,$H$5:$H$60,"Yes"),1,(_xlfn.MAXIFS($E$5:$E$60,$A$5:$A$60,$A38,$H$5:$H$60,"Yes")-$E38)/(_xlfn.MAXIFS($E$5:$E$60,$A$5:$A$60,$A38,$H$5:$H$60,"Yes")-_xlfn.MINIFS($E$5:$E$60,$A$5:$A$60,$A38,$H$5:$H$60,"Yes"))))</f>
        <v>1</v>
      </c>
      <c r="O38" s="20" t="n">
        <f aca="false">IF(OR($H38&lt;&gt;"Yes",$G38=""),"",IF(Weights!$B$10="Relative",IF(_xlfn.MAXIFS($G$5:$G$60,$A$5:$A$60,$A38,$H$5:$H$60,"Yes")=_xlfn.MINIFS($G$5:$G$60,$A$5:$A$60,$A38,$H$5:$H$60,"Yes"),1,($G38-_xlfn.MINIFS($G$5:$G$60,$A$5:$A$60,$A38,$H$5:$H$60,"Yes"))/(_xlfn.MAXIFS($G$5:$G$60,$A$5:$A$60,$A38,$H$5:$H$60,"Yes")-_xlfn.MINIFS($G$5:$G$60,$A$5:$A$60,$A38,$H$5:$H$60,"Yes"))),$G38/5))</f>
        <v>0.7</v>
      </c>
      <c r="P38" s="20" t="n">
        <f aca="false">IF(OR($H38&lt;&gt;"Yes",$M38=""),"",IF(_xlfn.MAXIFS($M$5:$M$60,$A$5:$A$60,$A38,$H$5:$H$60,"Yes")=_xlfn.MINIFS($M$5:$M$60,$A$5:$A$60,$A38,$H$5:$H$60,"Yes"),1,($M38-_xlfn.MINIFS($M$5:$M$60,$A$5:$A$60,$A38,$H$5:$H$60,"Yes"))/(_xlfn.MAXIFS($M$5:$M$60,$A$5:$A$60,$A38,$H$5:$H$60,"Yes")-_xlfn.MINIFS($M$5:$M$60,$A$5:$A$60,$A38,$H$5:$H$60,"Yes"))))</f>
        <v>0</v>
      </c>
      <c r="Q38" s="20" t="str">
        <f aca="false">IF(OR($H38&lt;&gt;"Yes",$J38=""),"",IF(_xlfn.MAXIFS($J$5:$J$60,$A$5:$A$60,$A38,$H$5:$H$60,"Yes")=_xlfn.MINIFS($J$5:$J$60,$A$5:$A$60,$A38,$H$5:$H$60,"Yes"),1,(_xlfn.MAXIFS($J$5:$J$60,$A$5:$A$60,$A38,$H$5:$H$60,"Yes")-$J38)/(_xlfn.MAXIFS($J$5:$J$60,$A$5:$A$60,$A38,$H$5:$H$60,"Yes")-_xlfn.MINIFS($J$5:$J$60,$A$5:$A$60,$A38,$H$5:$H$60,"Yes"))))</f>
        <v/>
      </c>
      <c r="R38" s="20" t="n">
        <f aca="false">IF($H38&lt;&gt;"Yes","",IFERROR(ROUND(100*(IF($N38="",0,Weights!$B$5*$N38)+IF($O38="",0,Weights!$B$6*$O38)+IF($P38="",0,Weights!$B$7*$P38)+IF($Q38="",0,Weights!$B$8*$Q38))/(IF($N38="",0,Weights!$B$5)+IF($O38="",0,Weights!$B$6)+IF($P38="",0,Weights!$B$7)+IF($Q38="",0,Weights!$B$8)),2),""))</f>
        <v>71</v>
      </c>
      <c r="S38" s="18" t="n">
        <f aca="false">IF($R38="","",COUNTIFS($A$5:$A$60,$A38,$R$5:$R$60,"&gt;"&amp;$R38)+1)</f>
        <v>1</v>
      </c>
      <c r="T38" s="18" t="n">
        <f aca="false">IF(OR($H38&lt;&gt;"Yes",$E38=""),"",COUNTIFS($A$5:$A$60,$A38,$H$5:$H$60,"Yes",$E$5:$E$60,"&lt;"&amp;$E38)+1)</f>
        <v>1</v>
      </c>
      <c r="U38" s="22" t="str">
        <f aca="false">IF($S38="","",$A38&amp;"|"&amp;$S38)</f>
        <v>12|1</v>
      </c>
      <c r="V38" s="22" t="str">
        <f aca="false">IF($T38="","",$A38&amp;"|"&amp;$T38)</f>
        <v>12|1</v>
      </c>
      <c r="W38" s="22" t="str">
        <f aca="false">IF($B38="","",$B38&amp;"|"&amp;$D38)</f>
        <v>Men's Digital Sports Watch|Amazon</v>
      </c>
    </row>
    <row r="39" customFormat="false" ht="15" hidden="false" customHeight="false" outlineLevel="0" collapsed="false">
      <c r="A39" s="17" t="n">
        <v>12</v>
      </c>
      <c r="B39" s="17" t="s">
        <v>74</v>
      </c>
      <c r="C39" s="17" t="s">
        <v>72</v>
      </c>
      <c r="D39" s="17" t="s">
        <v>18</v>
      </c>
      <c r="E39" s="23" t="n">
        <v>300</v>
      </c>
      <c r="F39" s="17" t="s">
        <v>60</v>
      </c>
      <c r="G39" s="24" t="n">
        <v>4</v>
      </c>
      <c r="H39" s="17" t="s">
        <v>53</v>
      </c>
      <c r="I39" s="25" t="n">
        <v>46312</v>
      </c>
      <c r="J39" s="17"/>
      <c r="K39" s="26" t="s">
        <v>54</v>
      </c>
      <c r="L39" s="26" t="s">
        <v>55</v>
      </c>
      <c r="M39" s="18" t="n">
        <f aca="false">IF($F39="","",IF(ISNUMBER(SEARCH("no warranty",$F39)),0,IF(ISNUMBER(SEARCH("year",$F39)),12*VALUE(LEFT($F39,FIND(" ",$F39)-1)),IF(ISNUMBER(SEARCH("month",$F39)),VALUE(LEFT($F39,FIND(" ",$F39)-1)),""))))</f>
        <v>12</v>
      </c>
      <c r="N39" s="20" t="n">
        <f aca="false">IF(OR($H39&lt;&gt;"Yes",$E39=""),"",IF(_xlfn.MAXIFS($E$5:$E$60,$A$5:$A$60,$A39,$H$5:$H$60,"Yes")=_xlfn.MINIFS($E$5:$E$60,$A$5:$A$60,$A39,$H$5:$H$60,"Yes"),1,(_xlfn.MAXIFS($E$5:$E$60,$A$5:$A$60,$A39,$H$5:$H$60,"Yes")-$E39)/(_xlfn.MAXIFS($E$5:$E$60,$A$5:$A$60,$A39,$H$5:$H$60,"Yes")-_xlfn.MINIFS($E$5:$E$60,$A$5:$A$60,$A39,$H$5:$H$60,"Yes"))))</f>
        <v>0</v>
      </c>
      <c r="O39" s="20" t="n">
        <f aca="false">IF(OR($H39&lt;&gt;"Yes",$G39=""),"",IF(Weights!$B$10="Relative",IF(_xlfn.MAXIFS($G$5:$G$60,$A$5:$A$60,$A39,$H$5:$H$60,"Yes")=_xlfn.MINIFS($G$5:$G$60,$A$5:$A$60,$A39,$H$5:$H$60,"Yes"),1,($G39-_xlfn.MINIFS($G$5:$G$60,$A$5:$A$60,$A39,$H$5:$H$60,"Yes"))/(_xlfn.MAXIFS($G$5:$G$60,$A$5:$A$60,$A39,$H$5:$H$60,"Yes")-_xlfn.MINIFS($G$5:$G$60,$A$5:$A$60,$A39,$H$5:$H$60,"Yes"))),$G39/5))</f>
        <v>0.8</v>
      </c>
      <c r="P39" s="20" t="n">
        <f aca="false">IF(OR($H39&lt;&gt;"Yes",$M39=""),"",IF(_xlfn.MAXIFS($M$5:$M$60,$A$5:$A$60,$A39,$H$5:$H$60,"Yes")=_xlfn.MINIFS($M$5:$M$60,$A$5:$A$60,$A39,$H$5:$H$60,"Yes"),1,($M39-_xlfn.MINIFS($M$5:$M$60,$A$5:$A$60,$A39,$H$5:$H$60,"Yes"))/(_xlfn.MAXIFS($M$5:$M$60,$A$5:$A$60,$A39,$H$5:$H$60,"Yes")-_xlfn.MINIFS($M$5:$M$60,$A$5:$A$60,$A39,$H$5:$H$60,"Yes"))))</f>
        <v>1</v>
      </c>
      <c r="Q39" s="20" t="str">
        <f aca="false">IF(OR($H39&lt;&gt;"Yes",$J39=""),"",IF(_xlfn.MAXIFS($J$5:$J$60,$A$5:$A$60,$A39,$H$5:$H$60,"Yes")=_xlfn.MINIFS($J$5:$J$60,$A$5:$A$60,$A39,$H$5:$H$60,"Yes"),1,(_xlfn.MAXIFS($J$5:$J$60,$A$5:$A$60,$A39,$H$5:$H$60,"Yes")-$J39)/(_xlfn.MAXIFS($J$5:$J$60,$A$5:$A$60,$A39,$H$5:$H$60,"Yes")-_xlfn.MINIFS($J$5:$J$60,$A$5:$A$60,$A39,$H$5:$H$60,"Yes"))))</f>
        <v/>
      </c>
      <c r="R39" s="20" t="n">
        <f aca="false">IF($H39&lt;&gt;"Yes","",IFERROR(ROUND(100*(IF($N39="",0,Weights!$B$5*$N39)+IF($O39="",0,Weights!$B$6*$O39)+IF($P39="",0,Weights!$B$7*$P39)+IF($Q39="",0,Weights!$B$8*$Q39))/(IF($N39="",0,Weights!$B$5)+IF($O39="",0,Weights!$B$6)+IF($P39="",0,Weights!$B$7)+IF($Q39="",0,Weights!$B$8)),2),""))</f>
        <v>44</v>
      </c>
      <c r="S39" s="18" t="n">
        <f aca="false">IF($R39="","",COUNTIFS($A$5:$A$60,$A39,$R$5:$R$60,"&gt;"&amp;$R39)+1)</f>
        <v>2</v>
      </c>
      <c r="T39" s="18" t="n">
        <f aca="false">IF(OR($H39&lt;&gt;"Yes",$E39=""),"",COUNTIFS($A$5:$A$60,$A39,$H$5:$H$60,"Yes",$E$5:$E$60,"&lt;"&amp;$E39)+1)</f>
        <v>2</v>
      </c>
      <c r="U39" s="22" t="str">
        <f aca="false">IF($S39="","",$A39&amp;"|"&amp;$S39)</f>
        <v>12|2</v>
      </c>
      <c r="V39" s="22" t="str">
        <f aca="false">IF($T39="","",$A39&amp;"|"&amp;$T39)</f>
        <v>12|2</v>
      </c>
      <c r="W39" s="22" t="str">
        <f aca="false">IF($B39="","",$B39&amp;"|"&amp;$D39)</f>
        <v>Men's Digital Sports Watch|Flipkart</v>
      </c>
    </row>
    <row r="40" customFormat="false" ht="15" hidden="false" customHeight="false" outlineLevel="0" collapsed="false">
      <c r="A40" s="17" t="n">
        <v>12</v>
      </c>
      <c r="B40" s="17" t="s">
        <v>74</v>
      </c>
      <c r="C40" s="17" t="s">
        <v>72</v>
      </c>
      <c r="D40" s="17" t="s">
        <v>19</v>
      </c>
      <c r="E40" s="23" t="n">
        <v>265</v>
      </c>
      <c r="F40" s="17" t="s">
        <v>56</v>
      </c>
      <c r="G40" s="24" t="n">
        <v>4.2</v>
      </c>
      <c r="H40" s="17" t="s">
        <v>67</v>
      </c>
      <c r="I40" s="25" t="n">
        <v>46312</v>
      </c>
      <c r="J40" s="17"/>
      <c r="K40" s="17"/>
      <c r="L40" s="26" t="s">
        <v>55</v>
      </c>
      <c r="M40" s="18" t="n">
        <f aca="false">IF($F40="","",IF(ISNUMBER(SEARCH("no warranty",$F40)),0,IF(ISNUMBER(SEARCH("year",$F40)),12*VALUE(LEFT($F40,FIND(" ",$F40)-1)),IF(ISNUMBER(SEARCH("month",$F40)),VALUE(LEFT($F40,FIND(" ",$F40)-1)),""))))</f>
        <v>0</v>
      </c>
      <c r="N40" s="20" t="str">
        <f aca="false">IF(OR($H40&lt;&gt;"Yes",$E40=""),"",IF(_xlfn.MAXIFS($E$5:$E$60,$A$5:$A$60,$A40,$H$5:$H$60,"Yes")=_xlfn.MINIFS($E$5:$E$60,$A$5:$A$60,$A40,$H$5:$H$60,"Yes"),1,(_xlfn.MAXIFS($E$5:$E$60,$A$5:$A$60,$A40,$H$5:$H$60,"Yes")-$E40)/(_xlfn.MAXIFS($E$5:$E$60,$A$5:$A$60,$A40,$H$5:$H$60,"Yes")-_xlfn.MINIFS($E$5:$E$60,$A$5:$A$60,$A40,$H$5:$H$60,"Yes"))))</f>
        <v/>
      </c>
      <c r="O40" s="20" t="str">
        <f aca="false">IF(OR($H40&lt;&gt;"Yes",$G40=""),"",IF(Weights!$B$10="Relative",IF(_xlfn.MAXIFS($G$5:$G$60,$A$5:$A$60,$A40,$H$5:$H$60,"Yes")=_xlfn.MINIFS($G$5:$G$60,$A$5:$A$60,$A40,$H$5:$H$60,"Yes"),1,($G40-_xlfn.MINIFS($G$5:$G$60,$A$5:$A$60,$A40,$H$5:$H$60,"Yes"))/(_xlfn.MAXIFS($G$5:$G$60,$A$5:$A$60,$A40,$H$5:$H$60,"Yes")-_xlfn.MINIFS($G$5:$G$60,$A$5:$A$60,$A40,$H$5:$H$60,"Yes"))),$G40/5))</f>
        <v/>
      </c>
      <c r="P40" s="20" t="str">
        <f aca="false">IF(OR($H40&lt;&gt;"Yes",$M40=""),"",IF(_xlfn.MAXIFS($M$5:$M$60,$A$5:$A$60,$A40,$H$5:$H$60,"Yes")=_xlfn.MINIFS($M$5:$M$60,$A$5:$A$60,$A40,$H$5:$H$60,"Yes"),1,($M40-_xlfn.MINIFS($M$5:$M$60,$A$5:$A$60,$A40,$H$5:$H$60,"Yes"))/(_xlfn.MAXIFS($M$5:$M$60,$A$5:$A$60,$A40,$H$5:$H$60,"Yes")-_xlfn.MINIFS($M$5:$M$60,$A$5:$A$60,$A40,$H$5:$H$60,"Yes"))))</f>
        <v/>
      </c>
      <c r="Q40" s="20" t="str">
        <f aca="false">IF(OR($H40&lt;&gt;"Yes",$J40=""),"",IF(_xlfn.MAXIFS($J$5:$J$60,$A$5:$A$60,$A40,$H$5:$H$60,"Yes")=_xlfn.MINIFS($J$5:$J$60,$A$5:$A$60,$A40,$H$5:$H$60,"Yes"),1,(_xlfn.MAXIFS($J$5:$J$60,$A$5:$A$60,$A40,$H$5:$H$60,"Yes")-$J40)/(_xlfn.MAXIFS($J$5:$J$60,$A$5:$A$60,$A40,$H$5:$H$60,"Yes")-_xlfn.MINIFS($J$5:$J$60,$A$5:$A$60,$A40,$H$5:$H$60,"Yes"))))</f>
        <v/>
      </c>
      <c r="R40" s="20" t="str">
        <f aca="false">IF($H40&lt;&gt;"Yes","",IFERROR(ROUND(100*(IF($N40="",0,Weights!$B$5*$N40)+IF($O40="",0,Weights!$B$6*$O40)+IF($P40="",0,Weights!$B$7*$P40)+IF($Q40="",0,Weights!$B$8*$Q40))/(IF($N40="",0,Weights!$B$5)+IF($O40="",0,Weights!$B$6)+IF($P40="",0,Weights!$B$7)+IF($Q40="",0,Weights!$B$8)),2),""))</f>
        <v/>
      </c>
      <c r="S40" s="18" t="str">
        <f aca="false">IF($R40="","",COUNTIFS($A$5:$A$60,$A40,$R$5:$R$60,"&gt;"&amp;$R40)+1)</f>
        <v/>
      </c>
      <c r="T40" s="18" t="str">
        <f aca="false">IF(OR($H40&lt;&gt;"Yes",$E40=""),"",COUNTIFS($A$5:$A$60,$A40,$H$5:$H$60,"Yes",$E$5:$E$60,"&lt;"&amp;$E40)+1)</f>
        <v/>
      </c>
      <c r="U40" s="22" t="str">
        <f aca="false">IF($S40="","",$A40&amp;"|"&amp;$S40)</f>
        <v/>
      </c>
      <c r="V40" s="22" t="str">
        <f aca="false">IF($T40="","",$A40&amp;"|"&amp;$T40)</f>
        <v/>
      </c>
      <c r="W40" s="22" t="str">
        <f aca="false">IF($B40="","",$B40&amp;"|"&amp;$D40)</f>
        <v>Men's Digital Sports Watch|Meesho</v>
      </c>
    </row>
    <row r="41" customFormat="false" ht="15" hidden="false" customHeight="false" outlineLevel="0" collapsed="false">
      <c r="A41" s="17" t="n">
        <v>13</v>
      </c>
      <c r="B41" s="17" t="s">
        <v>75</v>
      </c>
      <c r="C41" s="17" t="s">
        <v>76</v>
      </c>
      <c r="D41" s="17" t="s">
        <v>17</v>
      </c>
      <c r="E41" s="23" t="n">
        <v>849</v>
      </c>
      <c r="F41" s="17" t="s">
        <v>56</v>
      </c>
      <c r="G41" s="24" t="n">
        <v>4.5</v>
      </c>
      <c r="H41" s="17" t="s">
        <v>53</v>
      </c>
      <c r="I41" s="25" t="n">
        <v>46310</v>
      </c>
      <c r="J41" s="17"/>
      <c r="K41" s="26" t="s">
        <v>54</v>
      </c>
      <c r="L41" s="26" t="s">
        <v>55</v>
      </c>
      <c r="M41" s="18" t="n">
        <f aca="false">IF($F41="","",IF(ISNUMBER(SEARCH("no warranty",$F41)),0,IF(ISNUMBER(SEARCH("year",$F41)),12*VALUE(LEFT($F41,FIND(" ",$F41)-1)),IF(ISNUMBER(SEARCH("month",$F41)),VALUE(LEFT($F41,FIND(" ",$F41)-1)),""))))</f>
        <v>0</v>
      </c>
      <c r="N41" s="20" t="n">
        <f aca="false">IF(OR($H41&lt;&gt;"Yes",$E41=""),"",IF(_xlfn.MAXIFS($E$5:$E$60,$A$5:$A$60,$A41,$H$5:$H$60,"Yes")=_xlfn.MINIFS($E$5:$E$60,$A$5:$A$60,$A41,$H$5:$H$60,"Yes"),1,(_xlfn.MAXIFS($E$5:$E$60,$A$5:$A$60,$A41,$H$5:$H$60,"Yes")-$E41)/(_xlfn.MAXIFS($E$5:$E$60,$A$5:$A$60,$A41,$H$5:$H$60,"Yes")-_xlfn.MINIFS($E$5:$E$60,$A$5:$A$60,$A41,$H$5:$H$60,"Yes"))))</f>
        <v>0</v>
      </c>
      <c r="O41" s="20" t="n">
        <f aca="false">IF(OR($H41&lt;&gt;"Yes",$G41=""),"",IF(Weights!$B$10="Relative",IF(_xlfn.MAXIFS($G$5:$G$60,$A$5:$A$60,$A41,$H$5:$H$60,"Yes")=_xlfn.MINIFS($G$5:$G$60,$A$5:$A$60,$A41,$H$5:$H$60,"Yes"),1,($G41-_xlfn.MINIFS($G$5:$G$60,$A$5:$A$60,$A41,$H$5:$H$60,"Yes"))/(_xlfn.MAXIFS($G$5:$G$60,$A$5:$A$60,$A41,$H$5:$H$60,"Yes")-_xlfn.MINIFS($G$5:$G$60,$A$5:$A$60,$A41,$H$5:$H$60,"Yes"))),$G41/5))</f>
        <v>0.9</v>
      </c>
      <c r="P41" s="20" t="n">
        <f aca="false">IF(OR($H41&lt;&gt;"Yes",$M41=""),"",IF(_xlfn.MAXIFS($M$5:$M$60,$A$5:$A$60,$A41,$H$5:$H$60,"Yes")=_xlfn.MINIFS($M$5:$M$60,$A$5:$A$60,$A41,$H$5:$H$60,"Yes"),1,($M41-_xlfn.MINIFS($M$5:$M$60,$A$5:$A$60,$A41,$H$5:$H$60,"Yes"))/(_xlfn.MAXIFS($M$5:$M$60,$A$5:$A$60,$A41,$H$5:$H$60,"Yes")-_xlfn.MINIFS($M$5:$M$60,$A$5:$A$60,$A41,$H$5:$H$60,"Yes"))))</f>
        <v>1</v>
      </c>
      <c r="Q41" s="20" t="str">
        <f aca="false">IF(OR($H41&lt;&gt;"Yes",$J41=""),"",IF(_xlfn.MAXIFS($J$5:$J$60,$A$5:$A$60,$A41,$H$5:$H$60,"Yes")=_xlfn.MINIFS($J$5:$J$60,$A$5:$A$60,$A41,$H$5:$H$60,"Yes"),1,(_xlfn.MAXIFS($J$5:$J$60,$A$5:$A$60,$A41,$H$5:$H$60,"Yes")-$J41)/(_xlfn.MAXIFS($J$5:$J$60,$A$5:$A$60,$A41,$H$5:$H$60,"Yes")-_xlfn.MINIFS($J$5:$J$60,$A$5:$A$60,$A41,$H$5:$H$60,"Yes"))))</f>
        <v/>
      </c>
      <c r="R41" s="20" t="n">
        <f aca="false">IF($H41&lt;&gt;"Yes","",IFERROR(ROUND(100*(IF($N41="",0,Weights!$B$5*$N41)+IF($O41="",0,Weights!$B$6*$O41)+IF($P41="",0,Weights!$B$7*$P41)+IF($Q41="",0,Weights!$B$8*$Q41))/(IF($N41="",0,Weights!$B$5)+IF($O41="",0,Weights!$B$6)+IF($P41="",0,Weights!$B$7)+IF($Q41="",0,Weights!$B$8)),2),""))</f>
        <v>47</v>
      </c>
      <c r="S41" s="18" t="n">
        <f aca="false">IF($R41="","",COUNTIFS($A$5:$A$60,$A41,$R$5:$R$60,"&gt;"&amp;$R41)+1)</f>
        <v>3</v>
      </c>
      <c r="T41" s="18" t="n">
        <f aca="false">IF(OR($H41&lt;&gt;"Yes",$E41=""),"",COUNTIFS($A$5:$A$60,$A41,$H$5:$H$60,"Yes",$E$5:$E$60,"&lt;"&amp;$E41)+1)</f>
        <v>3</v>
      </c>
      <c r="U41" s="22" t="str">
        <f aca="false">IF($S41="","",$A41&amp;"|"&amp;$S41)</f>
        <v>13|3</v>
      </c>
      <c r="V41" s="22" t="str">
        <f aca="false">IF($T41="","",$A41&amp;"|"&amp;$T41)</f>
        <v>13|3</v>
      </c>
      <c r="W41" s="22" t="str">
        <f aca="false">IF($B41="","",$B41&amp;"|"&amp;$D41)</f>
        <v>Women's Sling Bag|Amazon</v>
      </c>
    </row>
    <row r="42" customFormat="false" ht="15" hidden="false" customHeight="false" outlineLevel="0" collapsed="false">
      <c r="A42" s="17" t="n">
        <v>13</v>
      </c>
      <c r="B42" s="17" t="s">
        <v>75</v>
      </c>
      <c r="C42" s="17" t="s">
        <v>76</v>
      </c>
      <c r="D42" s="17" t="s">
        <v>18</v>
      </c>
      <c r="E42" s="23" t="n">
        <v>399</v>
      </c>
      <c r="F42" s="17" t="s">
        <v>56</v>
      </c>
      <c r="G42" s="24" t="n">
        <v>4.5</v>
      </c>
      <c r="H42" s="17" t="s">
        <v>53</v>
      </c>
      <c r="I42" s="25" t="n">
        <v>46310</v>
      </c>
      <c r="J42" s="17"/>
      <c r="K42" s="26" t="s">
        <v>54</v>
      </c>
      <c r="L42" s="26" t="s">
        <v>55</v>
      </c>
      <c r="M42" s="18" t="n">
        <f aca="false">IF($F42="","",IF(ISNUMBER(SEARCH("no warranty",$F42)),0,IF(ISNUMBER(SEARCH("year",$F42)),12*VALUE(LEFT($F42,FIND(" ",$F42)-1)),IF(ISNUMBER(SEARCH("month",$F42)),VALUE(LEFT($F42,FIND(" ",$F42)-1)),""))))</f>
        <v>0</v>
      </c>
      <c r="N42" s="20" t="n">
        <f aca="false">IF(OR($H42&lt;&gt;"Yes",$E42=""),"",IF(_xlfn.MAXIFS($E$5:$E$60,$A$5:$A$60,$A42,$H$5:$H$60,"Yes")=_xlfn.MINIFS($E$5:$E$60,$A$5:$A$60,$A42,$H$5:$H$60,"Yes"),1,(_xlfn.MAXIFS($E$5:$E$60,$A$5:$A$60,$A42,$H$5:$H$60,"Yes")-$E42)/(_xlfn.MAXIFS($E$5:$E$60,$A$5:$A$60,$A42,$H$5:$H$60,"Yes")-_xlfn.MINIFS($E$5:$E$60,$A$5:$A$60,$A42,$H$5:$H$60,"Yes"))))</f>
        <v>0.637393767705383</v>
      </c>
      <c r="O42" s="20" t="n">
        <f aca="false">IF(OR($H42&lt;&gt;"Yes",$G42=""),"",IF(Weights!$B$10="Relative",IF(_xlfn.MAXIFS($G$5:$G$60,$A$5:$A$60,$A42,$H$5:$H$60,"Yes")=_xlfn.MINIFS($G$5:$G$60,$A$5:$A$60,$A42,$H$5:$H$60,"Yes"),1,($G42-_xlfn.MINIFS($G$5:$G$60,$A$5:$A$60,$A42,$H$5:$H$60,"Yes"))/(_xlfn.MAXIFS($G$5:$G$60,$A$5:$A$60,$A42,$H$5:$H$60,"Yes")-_xlfn.MINIFS($G$5:$G$60,$A$5:$A$60,$A42,$H$5:$H$60,"Yes"))),$G42/5))</f>
        <v>0.9</v>
      </c>
      <c r="P42" s="20" t="n">
        <f aca="false">IF(OR($H42&lt;&gt;"Yes",$M42=""),"",IF(_xlfn.MAXIFS($M$5:$M$60,$A$5:$A$60,$A42,$H$5:$H$60,"Yes")=_xlfn.MINIFS($M$5:$M$60,$A$5:$A$60,$A42,$H$5:$H$60,"Yes"),1,($M42-_xlfn.MINIFS($M$5:$M$60,$A$5:$A$60,$A42,$H$5:$H$60,"Yes"))/(_xlfn.MAXIFS($M$5:$M$60,$A$5:$A$60,$A42,$H$5:$H$60,"Yes")-_xlfn.MINIFS($M$5:$M$60,$A$5:$A$60,$A42,$H$5:$H$60,"Yes"))))</f>
        <v>1</v>
      </c>
      <c r="Q42" s="20" t="str">
        <f aca="false">IF(OR($H42&lt;&gt;"Yes",$J42=""),"",IF(_xlfn.MAXIFS($J$5:$J$60,$A$5:$A$60,$A42,$H$5:$H$60,"Yes")=_xlfn.MINIFS($J$5:$J$60,$A$5:$A$60,$A42,$H$5:$H$60,"Yes"),1,(_xlfn.MAXIFS($J$5:$J$60,$A$5:$A$60,$A42,$H$5:$H$60,"Yes")-$J42)/(_xlfn.MAXIFS($J$5:$J$60,$A$5:$A$60,$A42,$H$5:$H$60,"Yes")-_xlfn.MINIFS($J$5:$J$60,$A$5:$A$60,$A42,$H$5:$H$60,"Yes"))))</f>
        <v/>
      </c>
      <c r="R42" s="20" t="n">
        <f aca="false">IF($H42&lt;&gt;"Yes","",IFERROR(ROUND(100*(IF($N42="",0,Weights!$B$5*$N42)+IF($O42="",0,Weights!$B$6*$O42)+IF($P42="",0,Weights!$B$7*$P42)+IF($Q42="",0,Weights!$B$8*$Q42))/(IF($N42="",0,Weights!$B$5)+IF($O42="",0,Weights!$B$6)+IF($P42="",0,Weights!$B$7)+IF($Q42="",0,Weights!$B$8)),2),""))</f>
        <v>78.87</v>
      </c>
      <c r="S42" s="18" t="n">
        <f aca="false">IF($R42="","",COUNTIFS($A$5:$A$60,$A42,$R$5:$R$60,"&gt;"&amp;$R42)+1)</f>
        <v>2</v>
      </c>
      <c r="T42" s="18" t="n">
        <f aca="false">IF(OR($H42&lt;&gt;"Yes",$E42=""),"",COUNTIFS($A$5:$A$60,$A42,$H$5:$H$60,"Yes",$E$5:$E$60,"&lt;"&amp;$E42)+1)</f>
        <v>2</v>
      </c>
      <c r="U42" s="22" t="str">
        <f aca="false">IF($S42="","",$A42&amp;"|"&amp;$S42)</f>
        <v>13|2</v>
      </c>
      <c r="V42" s="22" t="str">
        <f aca="false">IF($T42="","",$A42&amp;"|"&amp;$T42)</f>
        <v>13|2</v>
      </c>
      <c r="W42" s="22" t="str">
        <f aca="false">IF($B42="","",$B42&amp;"|"&amp;$D42)</f>
        <v>Women's Sling Bag|Flipkart</v>
      </c>
    </row>
    <row r="43" customFormat="false" ht="15" hidden="false" customHeight="false" outlineLevel="0" collapsed="false">
      <c r="A43" s="17" t="n">
        <v>13</v>
      </c>
      <c r="B43" s="17" t="s">
        <v>75</v>
      </c>
      <c r="C43" s="17" t="s">
        <v>76</v>
      </c>
      <c r="D43" s="17" t="s">
        <v>19</v>
      </c>
      <c r="E43" s="23" t="n">
        <v>143</v>
      </c>
      <c r="F43" s="17" t="s">
        <v>56</v>
      </c>
      <c r="G43" s="24" t="n">
        <v>4.4</v>
      </c>
      <c r="H43" s="17" t="s">
        <v>53</v>
      </c>
      <c r="I43" s="25" t="n">
        <v>46310</v>
      </c>
      <c r="J43" s="17"/>
      <c r="K43" s="26" t="s">
        <v>54</v>
      </c>
      <c r="L43" s="26" t="s">
        <v>55</v>
      </c>
      <c r="M43" s="18" t="n">
        <f aca="false">IF($F43="","",IF(ISNUMBER(SEARCH("no warranty",$F43)),0,IF(ISNUMBER(SEARCH("year",$F43)),12*VALUE(LEFT($F43,FIND(" ",$F43)-1)),IF(ISNUMBER(SEARCH("month",$F43)),VALUE(LEFT($F43,FIND(" ",$F43)-1)),""))))</f>
        <v>0</v>
      </c>
      <c r="N43" s="20" t="n">
        <f aca="false">IF(OR($H43&lt;&gt;"Yes",$E43=""),"",IF(_xlfn.MAXIFS($E$5:$E$60,$A$5:$A$60,$A43,$H$5:$H$60,"Yes")=_xlfn.MINIFS($E$5:$E$60,$A$5:$A$60,$A43,$H$5:$H$60,"Yes"),1,(_xlfn.MAXIFS($E$5:$E$60,$A$5:$A$60,$A43,$H$5:$H$60,"Yes")-$E43)/(_xlfn.MAXIFS($E$5:$E$60,$A$5:$A$60,$A43,$H$5:$H$60,"Yes")-_xlfn.MINIFS($E$5:$E$60,$A$5:$A$60,$A43,$H$5:$H$60,"Yes"))))</f>
        <v>1</v>
      </c>
      <c r="O43" s="20" t="n">
        <f aca="false">IF(OR($H43&lt;&gt;"Yes",$G43=""),"",IF(Weights!$B$10="Relative",IF(_xlfn.MAXIFS($G$5:$G$60,$A$5:$A$60,$A43,$H$5:$H$60,"Yes")=_xlfn.MINIFS($G$5:$G$60,$A$5:$A$60,$A43,$H$5:$H$60,"Yes"),1,($G43-_xlfn.MINIFS($G$5:$G$60,$A$5:$A$60,$A43,$H$5:$H$60,"Yes"))/(_xlfn.MAXIFS($G$5:$G$60,$A$5:$A$60,$A43,$H$5:$H$60,"Yes")-_xlfn.MINIFS($G$5:$G$60,$A$5:$A$60,$A43,$H$5:$H$60,"Yes"))),$G43/5))</f>
        <v>0.88</v>
      </c>
      <c r="P43" s="20" t="n">
        <f aca="false">IF(OR($H43&lt;&gt;"Yes",$M43=""),"",IF(_xlfn.MAXIFS($M$5:$M$60,$A$5:$A$60,$A43,$H$5:$H$60,"Yes")=_xlfn.MINIFS($M$5:$M$60,$A$5:$A$60,$A43,$H$5:$H$60,"Yes"),1,($M43-_xlfn.MINIFS($M$5:$M$60,$A$5:$A$60,$A43,$H$5:$H$60,"Yes"))/(_xlfn.MAXIFS($M$5:$M$60,$A$5:$A$60,$A43,$H$5:$H$60,"Yes")-_xlfn.MINIFS($M$5:$M$60,$A$5:$A$60,$A43,$H$5:$H$60,"Yes"))))</f>
        <v>1</v>
      </c>
      <c r="Q43" s="20" t="str">
        <f aca="false">IF(OR($H43&lt;&gt;"Yes",$J43=""),"",IF(_xlfn.MAXIFS($J$5:$J$60,$A$5:$A$60,$A43,$H$5:$H$60,"Yes")=_xlfn.MINIFS($J$5:$J$60,$A$5:$A$60,$A43,$H$5:$H$60,"Yes"),1,(_xlfn.MAXIFS($J$5:$J$60,$A$5:$A$60,$A43,$H$5:$H$60,"Yes")-$J43)/(_xlfn.MAXIFS($J$5:$J$60,$A$5:$A$60,$A43,$H$5:$H$60,"Yes")-_xlfn.MINIFS($J$5:$J$60,$A$5:$A$60,$A43,$H$5:$H$60,"Yes"))))</f>
        <v/>
      </c>
      <c r="R43" s="20" t="n">
        <f aca="false">IF($H43&lt;&gt;"Yes","",IFERROR(ROUND(100*(IF($N43="",0,Weights!$B$5*$N43)+IF($O43="",0,Weights!$B$6*$O43)+IF($P43="",0,Weights!$B$7*$P43)+IF($Q43="",0,Weights!$B$8*$Q43))/(IF($N43="",0,Weights!$B$5)+IF($O43="",0,Weights!$B$6)+IF($P43="",0,Weights!$B$7)+IF($Q43="",0,Weights!$B$8)),2),""))</f>
        <v>96.4</v>
      </c>
      <c r="S43" s="18" t="n">
        <f aca="false">IF($R43="","",COUNTIFS($A$5:$A$60,$A43,$R$5:$R$60,"&gt;"&amp;$R43)+1)</f>
        <v>1</v>
      </c>
      <c r="T43" s="18" t="n">
        <f aca="false">IF(OR($H43&lt;&gt;"Yes",$E43=""),"",COUNTIFS($A$5:$A$60,$A43,$H$5:$H$60,"Yes",$E$5:$E$60,"&lt;"&amp;$E43)+1)</f>
        <v>1</v>
      </c>
      <c r="U43" s="22" t="str">
        <f aca="false">IF($S43="","",$A43&amp;"|"&amp;$S43)</f>
        <v>13|1</v>
      </c>
      <c r="V43" s="22" t="str">
        <f aca="false">IF($T43="","",$A43&amp;"|"&amp;$T43)</f>
        <v>13|1</v>
      </c>
      <c r="W43" s="22" t="str">
        <f aca="false">IF($B43="","",$B43&amp;"|"&amp;$D43)</f>
        <v>Women's Sling Bag|Meesho</v>
      </c>
    </row>
    <row r="44" customFormat="false" ht="15" hidden="false" customHeight="false" outlineLevel="0" collapsed="false">
      <c r="A44" s="17" t="n">
        <v>14</v>
      </c>
      <c r="B44" s="17" t="s">
        <v>77</v>
      </c>
      <c r="C44" s="17" t="s">
        <v>78</v>
      </c>
      <c r="D44" s="17" t="s">
        <v>17</v>
      </c>
      <c r="E44" s="23" t="n">
        <v>325</v>
      </c>
      <c r="F44" s="17" t="s">
        <v>56</v>
      </c>
      <c r="G44" s="24" t="n">
        <v>4.4</v>
      </c>
      <c r="H44" s="17" t="s">
        <v>53</v>
      </c>
      <c r="I44" s="25" t="n">
        <v>46312</v>
      </c>
      <c r="J44" s="17"/>
      <c r="K44" s="17"/>
      <c r="L44" s="26" t="s">
        <v>55</v>
      </c>
      <c r="M44" s="18" t="n">
        <f aca="false">IF($F44="","",IF(ISNUMBER(SEARCH("no warranty",$F44)),0,IF(ISNUMBER(SEARCH("year",$F44)),12*VALUE(LEFT($F44,FIND(" ",$F44)-1)),IF(ISNUMBER(SEARCH("month",$F44)),VALUE(LEFT($F44,FIND(" ",$F44)-1)),""))))</f>
        <v>0</v>
      </c>
      <c r="N44" s="20" t="n">
        <f aca="false">IF(OR($H44&lt;&gt;"Yes",$E44=""),"",IF(_xlfn.MAXIFS($E$5:$E$60,$A$5:$A$60,$A44,$H$5:$H$60,"Yes")=_xlfn.MINIFS($E$5:$E$60,$A$5:$A$60,$A44,$H$5:$H$60,"Yes"),1,(_xlfn.MAXIFS($E$5:$E$60,$A$5:$A$60,$A44,$H$5:$H$60,"Yes")-$E44)/(_xlfn.MAXIFS($E$5:$E$60,$A$5:$A$60,$A44,$H$5:$H$60,"Yes")-_xlfn.MINIFS($E$5:$E$60,$A$5:$A$60,$A44,$H$5:$H$60,"Yes"))))</f>
        <v>0</v>
      </c>
      <c r="O44" s="20" t="n">
        <f aca="false">IF(OR($H44&lt;&gt;"Yes",$G44=""),"",IF(Weights!$B$10="Relative",IF(_xlfn.MAXIFS($G$5:$G$60,$A$5:$A$60,$A44,$H$5:$H$60,"Yes")=_xlfn.MINIFS($G$5:$G$60,$A$5:$A$60,$A44,$H$5:$H$60,"Yes"),1,($G44-_xlfn.MINIFS($G$5:$G$60,$A$5:$A$60,$A44,$H$5:$H$60,"Yes"))/(_xlfn.MAXIFS($G$5:$G$60,$A$5:$A$60,$A44,$H$5:$H$60,"Yes")-_xlfn.MINIFS($G$5:$G$60,$A$5:$A$60,$A44,$H$5:$H$60,"Yes"))),$G44/5))</f>
        <v>0.88</v>
      </c>
      <c r="P44" s="20" t="n">
        <f aca="false">IF(OR($H44&lt;&gt;"Yes",$M44=""),"",IF(_xlfn.MAXIFS($M$5:$M$60,$A$5:$A$60,$A44,$H$5:$H$60,"Yes")=_xlfn.MINIFS($M$5:$M$60,$A$5:$A$60,$A44,$H$5:$H$60,"Yes"),1,($M44-_xlfn.MINIFS($M$5:$M$60,$A$5:$A$60,$A44,$H$5:$H$60,"Yes"))/(_xlfn.MAXIFS($M$5:$M$60,$A$5:$A$60,$A44,$H$5:$H$60,"Yes")-_xlfn.MINIFS($M$5:$M$60,$A$5:$A$60,$A44,$H$5:$H$60,"Yes"))))</f>
        <v>1</v>
      </c>
      <c r="Q44" s="20" t="str">
        <f aca="false">IF(OR($H44&lt;&gt;"Yes",$J44=""),"",IF(_xlfn.MAXIFS($J$5:$J$60,$A$5:$A$60,$A44,$H$5:$H$60,"Yes")=_xlfn.MINIFS($J$5:$J$60,$A$5:$A$60,$A44,$H$5:$H$60,"Yes"),1,(_xlfn.MAXIFS($J$5:$J$60,$A$5:$A$60,$A44,$H$5:$H$60,"Yes")-$J44)/(_xlfn.MAXIFS($J$5:$J$60,$A$5:$A$60,$A44,$H$5:$H$60,"Yes")-_xlfn.MINIFS($J$5:$J$60,$A$5:$A$60,$A44,$H$5:$H$60,"Yes"))))</f>
        <v/>
      </c>
      <c r="R44" s="20" t="n">
        <f aca="false">IF($H44&lt;&gt;"Yes","",IFERROR(ROUND(100*(IF($N44="",0,Weights!$B$5*$N44)+IF($O44="",0,Weights!$B$6*$O44)+IF($P44="",0,Weights!$B$7*$P44)+IF($Q44="",0,Weights!$B$8*$Q44))/(IF($N44="",0,Weights!$B$5)+IF($O44="",0,Weights!$B$6)+IF($P44="",0,Weights!$B$7)+IF($Q44="",0,Weights!$B$8)),2),""))</f>
        <v>46.4</v>
      </c>
      <c r="S44" s="18" t="n">
        <f aca="false">IF($R44="","",COUNTIFS($A$5:$A$60,$A44,$R$5:$R$60,"&gt;"&amp;$R44)+1)</f>
        <v>3</v>
      </c>
      <c r="T44" s="18" t="n">
        <f aca="false">IF(OR($H44&lt;&gt;"Yes",$E44=""),"",COUNTIFS($A$5:$A$60,$A44,$H$5:$H$60,"Yes",$E$5:$E$60,"&lt;"&amp;$E44)+1)</f>
        <v>3</v>
      </c>
      <c r="U44" s="22" t="str">
        <f aca="false">IF($S44="","",$A44&amp;"|"&amp;$S44)</f>
        <v>14|3</v>
      </c>
      <c r="V44" s="22" t="str">
        <f aca="false">IF($T44="","",$A44&amp;"|"&amp;$T44)</f>
        <v>14|3</v>
      </c>
      <c r="W44" s="22" t="str">
        <f aca="false">IF($B44="","",$B44&amp;"|"&amp;$D44)</f>
        <v>Home Decor Item|Amazon</v>
      </c>
    </row>
    <row r="45" customFormat="false" ht="15" hidden="false" customHeight="false" outlineLevel="0" collapsed="false">
      <c r="A45" s="17" t="n">
        <v>14</v>
      </c>
      <c r="B45" s="17" t="s">
        <v>77</v>
      </c>
      <c r="C45" s="17" t="s">
        <v>78</v>
      </c>
      <c r="D45" s="17" t="s">
        <v>18</v>
      </c>
      <c r="E45" s="23" t="n">
        <v>300</v>
      </c>
      <c r="F45" s="17" t="s">
        <v>56</v>
      </c>
      <c r="G45" s="24" t="n">
        <v>4.3</v>
      </c>
      <c r="H45" s="17" t="s">
        <v>53</v>
      </c>
      <c r="I45" s="25" t="n">
        <v>46312</v>
      </c>
      <c r="J45" s="17"/>
      <c r="K45" s="17"/>
      <c r="L45" s="26" t="s">
        <v>55</v>
      </c>
      <c r="M45" s="18" t="n">
        <f aca="false">IF($F45="","",IF(ISNUMBER(SEARCH("no warranty",$F45)),0,IF(ISNUMBER(SEARCH("year",$F45)),12*VALUE(LEFT($F45,FIND(" ",$F45)-1)),IF(ISNUMBER(SEARCH("month",$F45)),VALUE(LEFT($F45,FIND(" ",$F45)-1)),""))))</f>
        <v>0</v>
      </c>
      <c r="N45" s="20" t="n">
        <f aca="false">IF(OR($H45&lt;&gt;"Yes",$E45=""),"",IF(_xlfn.MAXIFS($E$5:$E$60,$A$5:$A$60,$A45,$H$5:$H$60,"Yes")=_xlfn.MINIFS($E$5:$E$60,$A$5:$A$60,$A45,$H$5:$H$60,"Yes"),1,(_xlfn.MAXIFS($E$5:$E$60,$A$5:$A$60,$A45,$H$5:$H$60,"Yes")-$E45)/(_xlfn.MAXIFS($E$5:$E$60,$A$5:$A$60,$A45,$H$5:$H$60,"Yes")-_xlfn.MINIFS($E$5:$E$60,$A$5:$A$60,$A45,$H$5:$H$60,"Yes"))))</f>
        <v>0.2</v>
      </c>
      <c r="O45" s="20" t="n">
        <f aca="false">IF(OR($H45&lt;&gt;"Yes",$G45=""),"",IF(Weights!$B$10="Relative",IF(_xlfn.MAXIFS($G$5:$G$60,$A$5:$A$60,$A45,$H$5:$H$60,"Yes")=_xlfn.MINIFS($G$5:$G$60,$A$5:$A$60,$A45,$H$5:$H$60,"Yes"),1,($G45-_xlfn.MINIFS($G$5:$G$60,$A$5:$A$60,$A45,$H$5:$H$60,"Yes"))/(_xlfn.MAXIFS($G$5:$G$60,$A$5:$A$60,$A45,$H$5:$H$60,"Yes")-_xlfn.MINIFS($G$5:$G$60,$A$5:$A$60,$A45,$H$5:$H$60,"Yes"))),$G45/5))</f>
        <v>0.86</v>
      </c>
      <c r="P45" s="20" t="n">
        <f aca="false">IF(OR($H45&lt;&gt;"Yes",$M45=""),"",IF(_xlfn.MAXIFS($M$5:$M$60,$A$5:$A$60,$A45,$H$5:$H$60,"Yes")=_xlfn.MINIFS($M$5:$M$60,$A$5:$A$60,$A45,$H$5:$H$60,"Yes"),1,($M45-_xlfn.MINIFS($M$5:$M$60,$A$5:$A$60,$A45,$H$5:$H$60,"Yes"))/(_xlfn.MAXIFS($M$5:$M$60,$A$5:$A$60,$A45,$H$5:$H$60,"Yes")-_xlfn.MINIFS($M$5:$M$60,$A$5:$A$60,$A45,$H$5:$H$60,"Yes"))))</f>
        <v>1</v>
      </c>
      <c r="Q45" s="20" t="str">
        <f aca="false">IF(OR($H45&lt;&gt;"Yes",$J45=""),"",IF(_xlfn.MAXIFS($J$5:$J$60,$A$5:$A$60,$A45,$H$5:$H$60,"Yes")=_xlfn.MINIFS($J$5:$J$60,$A$5:$A$60,$A45,$H$5:$H$60,"Yes"),1,(_xlfn.MAXIFS($J$5:$J$60,$A$5:$A$60,$A45,$H$5:$H$60,"Yes")-$J45)/(_xlfn.MAXIFS($J$5:$J$60,$A$5:$A$60,$A45,$H$5:$H$60,"Yes")-_xlfn.MINIFS($J$5:$J$60,$A$5:$A$60,$A45,$H$5:$H$60,"Yes"))))</f>
        <v/>
      </c>
      <c r="R45" s="20" t="n">
        <f aca="false">IF($H45&lt;&gt;"Yes","",IFERROR(ROUND(100*(IF($N45="",0,Weights!$B$5*$N45)+IF($O45="",0,Weights!$B$6*$O45)+IF($P45="",0,Weights!$B$7*$P45)+IF($Q45="",0,Weights!$B$8*$Q45))/(IF($N45="",0,Weights!$B$5)+IF($O45="",0,Weights!$B$6)+IF($P45="",0,Weights!$B$7)+IF($Q45="",0,Weights!$B$8)),2),""))</f>
        <v>55.8</v>
      </c>
      <c r="S45" s="18" t="n">
        <f aca="false">IF($R45="","",COUNTIFS($A$5:$A$60,$A45,$R$5:$R$60,"&gt;"&amp;$R45)+1)</f>
        <v>2</v>
      </c>
      <c r="T45" s="18" t="n">
        <f aca="false">IF(OR($H45&lt;&gt;"Yes",$E45=""),"",COUNTIFS($A$5:$A$60,$A45,$H$5:$H$60,"Yes",$E$5:$E$60,"&lt;"&amp;$E45)+1)</f>
        <v>2</v>
      </c>
      <c r="U45" s="22" t="str">
        <f aca="false">IF($S45="","",$A45&amp;"|"&amp;$S45)</f>
        <v>14|2</v>
      </c>
      <c r="V45" s="22" t="str">
        <f aca="false">IF($T45="","",$A45&amp;"|"&amp;$T45)</f>
        <v>14|2</v>
      </c>
      <c r="W45" s="22" t="str">
        <f aca="false">IF($B45="","",$B45&amp;"|"&amp;$D45)</f>
        <v>Home Decor Item|Flipkart</v>
      </c>
    </row>
    <row r="46" customFormat="false" ht="15" hidden="false" customHeight="false" outlineLevel="0" collapsed="false">
      <c r="A46" s="17" t="n">
        <v>14</v>
      </c>
      <c r="B46" s="17" t="s">
        <v>77</v>
      </c>
      <c r="C46" s="17" t="s">
        <v>78</v>
      </c>
      <c r="D46" s="17" t="s">
        <v>19</v>
      </c>
      <c r="E46" s="23" t="n">
        <v>200</v>
      </c>
      <c r="F46" s="17" t="s">
        <v>56</v>
      </c>
      <c r="G46" s="24" t="n">
        <v>4.2</v>
      </c>
      <c r="H46" s="17" t="s">
        <v>53</v>
      </c>
      <c r="I46" s="25" t="n">
        <v>46312</v>
      </c>
      <c r="J46" s="17"/>
      <c r="K46" s="17"/>
      <c r="L46" s="26" t="s">
        <v>55</v>
      </c>
      <c r="M46" s="18" t="n">
        <f aca="false">IF($F46="","",IF(ISNUMBER(SEARCH("no warranty",$F46)),0,IF(ISNUMBER(SEARCH("year",$F46)),12*VALUE(LEFT($F46,FIND(" ",$F46)-1)),IF(ISNUMBER(SEARCH("month",$F46)),VALUE(LEFT($F46,FIND(" ",$F46)-1)),""))))</f>
        <v>0</v>
      </c>
      <c r="N46" s="20" t="n">
        <f aca="false">IF(OR($H46&lt;&gt;"Yes",$E46=""),"",IF(_xlfn.MAXIFS($E$5:$E$60,$A$5:$A$60,$A46,$H$5:$H$60,"Yes")=_xlfn.MINIFS($E$5:$E$60,$A$5:$A$60,$A46,$H$5:$H$60,"Yes"),1,(_xlfn.MAXIFS($E$5:$E$60,$A$5:$A$60,$A46,$H$5:$H$60,"Yes")-$E46)/(_xlfn.MAXIFS($E$5:$E$60,$A$5:$A$60,$A46,$H$5:$H$60,"Yes")-_xlfn.MINIFS($E$5:$E$60,$A$5:$A$60,$A46,$H$5:$H$60,"Yes"))))</f>
        <v>1</v>
      </c>
      <c r="O46" s="20" t="n">
        <f aca="false">IF(OR($H46&lt;&gt;"Yes",$G46=""),"",IF(Weights!$B$10="Relative",IF(_xlfn.MAXIFS($G$5:$G$60,$A$5:$A$60,$A46,$H$5:$H$60,"Yes")=_xlfn.MINIFS($G$5:$G$60,$A$5:$A$60,$A46,$H$5:$H$60,"Yes"),1,($G46-_xlfn.MINIFS($G$5:$G$60,$A$5:$A$60,$A46,$H$5:$H$60,"Yes"))/(_xlfn.MAXIFS($G$5:$G$60,$A$5:$A$60,$A46,$H$5:$H$60,"Yes")-_xlfn.MINIFS($G$5:$G$60,$A$5:$A$60,$A46,$H$5:$H$60,"Yes"))),$G46/5))</f>
        <v>0.84</v>
      </c>
      <c r="P46" s="20" t="n">
        <f aca="false">IF(OR($H46&lt;&gt;"Yes",$M46=""),"",IF(_xlfn.MAXIFS($M$5:$M$60,$A$5:$A$60,$A46,$H$5:$H$60,"Yes")=_xlfn.MINIFS($M$5:$M$60,$A$5:$A$60,$A46,$H$5:$H$60,"Yes"),1,($M46-_xlfn.MINIFS($M$5:$M$60,$A$5:$A$60,$A46,$H$5:$H$60,"Yes"))/(_xlfn.MAXIFS($M$5:$M$60,$A$5:$A$60,$A46,$H$5:$H$60,"Yes")-_xlfn.MINIFS($M$5:$M$60,$A$5:$A$60,$A46,$H$5:$H$60,"Yes"))))</f>
        <v>1</v>
      </c>
      <c r="Q46" s="20" t="str">
        <f aca="false">IF(OR($H46&lt;&gt;"Yes",$J46=""),"",IF(_xlfn.MAXIFS($J$5:$J$60,$A$5:$A$60,$A46,$H$5:$H$60,"Yes")=_xlfn.MINIFS($J$5:$J$60,$A$5:$A$60,$A46,$H$5:$H$60,"Yes"),1,(_xlfn.MAXIFS($J$5:$J$60,$A$5:$A$60,$A46,$H$5:$H$60,"Yes")-$J46)/(_xlfn.MAXIFS($J$5:$J$60,$A$5:$A$60,$A46,$H$5:$H$60,"Yes")-_xlfn.MINIFS($J$5:$J$60,$A$5:$A$60,$A46,$H$5:$H$60,"Yes"))))</f>
        <v/>
      </c>
      <c r="R46" s="20" t="n">
        <f aca="false">IF($H46&lt;&gt;"Yes","",IFERROR(ROUND(100*(IF($N46="",0,Weights!$B$5*$N46)+IF($O46="",0,Weights!$B$6*$O46)+IF($P46="",0,Weights!$B$7*$P46)+IF($Q46="",0,Weights!$B$8*$Q46))/(IF($N46="",0,Weights!$B$5)+IF($O46="",0,Weights!$B$6)+IF($P46="",0,Weights!$B$7)+IF($Q46="",0,Weights!$B$8)),2),""))</f>
        <v>95.2</v>
      </c>
      <c r="S46" s="18" t="n">
        <f aca="false">IF($R46="","",COUNTIFS($A$5:$A$60,$A46,$R$5:$R$60,"&gt;"&amp;$R46)+1)</f>
        <v>1</v>
      </c>
      <c r="T46" s="18" t="n">
        <f aca="false">IF(OR($H46&lt;&gt;"Yes",$E46=""),"",COUNTIFS($A$5:$A$60,$A46,$H$5:$H$60,"Yes",$E$5:$E$60,"&lt;"&amp;$E46)+1)</f>
        <v>1</v>
      </c>
      <c r="U46" s="22" t="str">
        <f aca="false">IF($S46="","",$A46&amp;"|"&amp;$S46)</f>
        <v>14|1</v>
      </c>
      <c r="V46" s="22" t="str">
        <f aca="false">IF($T46="","",$A46&amp;"|"&amp;$T46)</f>
        <v>14|1</v>
      </c>
      <c r="W46" s="22" t="str">
        <f aca="false">IF($B46="","",$B46&amp;"|"&amp;$D46)</f>
        <v>Home Decor Item|Meesho</v>
      </c>
    </row>
    <row r="47" customFormat="false" ht="15" hidden="false" customHeight="false" outlineLevel="0" collapsed="false">
      <c r="A47" s="17" t="n">
        <v>15</v>
      </c>
      <c r="B47" s="17" t="s">
        <v>79</v>
      </c>
      <c r="C47" s="17" t="s">
        <v>80</v>
      </c>
      <c r="D47" s="17" t="s">
        <v>17</v>
      </c>
      <c r="E47" s="23" t="n">
        <v>800</v>
      </c>
      <c r="F47" s="17" t="s">
        <v>52</v>
      </c>
      <c r="G47" s="24" t="n">
        <v>3.9</v>
      </c>
      <c r="H47" s="17" t="s">
        <v>53</v>
      </c>
      <c r="I47" s="25" t="n">
        <v>46312</v>
      </c>
      <c r="J47" s="17"/>
      <c r="K47" s="26" t="s">
        <v>54</v>
      </c>
      <c r="L47" s="26" t="s">
        <v>55</v>
      </c>
      <c r="M47" s="18" t="n">
        <f aca="false">IF($F47="","",IF(ISNUMBER(SEARCH("no warranty",$F47)),0,IF(ISNUMBER(SEARCH("year",$F47)),12*VALUE(LEFT($F47,FIND(" ",$F47)-1)),IF(ISNUMBER(SEARCH("month",$F47)),VALUE(LEFT($F47,FIND(" ",$F47)-1)),""))))</f>
        <v>12</v>
      </c>
      <c r="N47" s="20" t="n">
        <f aca="false">IF(OR($H47&lt;&gt;"Yes",$E47=""),"",IF(_xlfn.MAXIFS($E$5:$E$60,$A$5:$A$60,$A47,$H$5:$H$60,"Yes")=_xlfn.MINIFS($E$5:$E$60,$A$5:$A$60,$A47,$H$5:$H$60,"Yes"),1,(_xlfn.MAXIFS($E$5:$E$60,$A$5:$A$60,$A47,$H$5:$H$60,"Yes")-$E47)/(_xlfn.MAXIFS($E$5:$E$60,$A$5:$A$60,$A47,$H$5:$H$60,"Yes")-_xlfn.MINIFS($E$5:$E$60,$A$5:$A$60,$A47,$H$5:$H$60,"Yes"))))</f>
        <v>0.333333333333333</v>
      </c>
      <c r="O47" s="20" t="n">
        <f aca="false">IF(OR($H47&lt;&gt;"Yes",$G47=""),"",IF(Weights!$B$10="Relative",IF(_xlfn.MAXIFS($G$5:$G$60,$A$5:$A$60,$A47,$H$5:$H$60,"Yes")=_xlfn.MINIFS($G$5:$G$60,$A$5:$A$60,$A47,$H$5:$H$60,"Yes"),1,($G47-_xlfn.MINIFS($G$5:$G$60,$A$5:$A$60,$A47,$H$5:$H$60,"Yes"))/(_xlfn.MAXIFS($G$5:$G$60,$A$5:$A$60,$A47,$H$5:$H$60,"Yes")-_xlfn.MINIFS($G$5:$G$60,$A$5:$A$60,$A47,$H$5:$H$60,"Yes"))),$G47/5))</f>
        <v>0.78</v>
      </c>
      <c r="P47" s="20" t="n">
        <f aca="false">IF(OR($H47&lt;&gt;"Yes",$M47=""),"",IF(_xlfn.MAXIFS($M$5:$M$60,$A$5:$A$60,$A47,$H$5:$H$60,"Yes")=_xlfn.MINIFS($M$5:$M$60,$A$5:$A$60,$A47,$H$5:$H$60,"Yes"),1,($M47-_xlfn.MINIFS($M$5:$M$60,$A$5:$A$60,$A47,$H$5:$H$60,"Yes"))/(_xlfn.MAXIFS($M$5:$M$60,$A$5:$A$60,$A47,$H$5:$H$60,"Yes")-_xlfn.MINIFS($M$5:$M$60,$A$5:$A$60,$A47,$H$5:$H$60,"Yes"))))</f>
        <v>1</v>
      </c>
      <c r="Q47" s="20" t="str">
        <f aca="false">IF(OR($H47&lt;&gt;"Yes",$J47=""),"",IF(_xlfn.MAXIFS($J$5:$J$60,$A$5:$A$60,$A47,$H$5:$H$60,"Yes")=_xlfn.MINIFS($J$5:$J$60,$A$5:$A$60,$A47,$H$5:$H$60,"Yes"),1,(_xlfn.MAXIFS($J$5:$J$60,$A$5:$A$60,$A47,$H$5:$H$60,"Yes")-$J47)/(_xlfn.MAXIFS($J$5:$J$60,$A$5:$A$60,$A47,$H$5:$H$60,"Yes")-_xlfn.MINIFS($J$5:$J$60,$A$5:$A$60,$A47,$H$5:$H$60,"Yes"))))</f>
        <v/>
      </c>
      <c r="R47" s="20" t="n">
        <f aca="false">IF($H47&lt;&gt;"Yes","",IFERROR(ROUND(100*(IF($N47="",0,Weights!$B$5*$N47)+IF($O47="",0,Weights!$B$6*$O47)+IF($P47="",0,Weights!$B$7*$P47)+IF($Q47="",0,Weights!$B$8*$Q47))/(IF($N47="",0,Weights!$B$5)+IF($O47="",0,Weights!$B$6)+IF($P47="",0,Weights!$B$7)+IF($Q47="",0,Weights!$B$8)),2),""))</f>
        <v>60.07</v>
      </c>
      <c r="S47" s="18" t="n">
        <f aca="false">IF($R47="","",COUNTIFS($A$5:$A$60,$A47,$R$5:$R$60,"&gt;"&amp;$R47)+1)</f>
        <v>2</v>
      </c>
      <c r="T47" s="18" t="n">
        <f aca="false">IF(OR($H47&lt;&gt;"Yes",$E47=""),"",COUNTIFS($A$5:$A$60,$A47,$H$5:$H$60,"Yes",$E$5:$E$60,"&lt;"&amp;$E47)+1)</f>
        <v>2</v>
      </c>
      <c r="U47" s="22" t="str">
        <f aca="false">IF($S47="","",$A47&amp;"|"&amp;$S47)</f>
        <v>15|2</v>
      </c>
      <c r="V47" s="22" t="str">
        <f aca="false">IF($T47="","",$A47&amp;"|"&amp;$T47)</f>
        <v>15|2</v>
      </c>
      <c r="W47" s="22" t="str">
        <f aca="false">IF($B47="","",$B47&amp;"|"&amp;$D47)</f>
        <v>Kids Cycle|Amazon</v>
      </c>
    </row>
    <row r="48" customFormat="false" ht="15" hidden="false" customHeight="false" outlineLevel="0" collapsed="false">
      <c r="A48" s="17" t="n">
        <v>15</v>
      </c>
      <c r="B48" s="17" t="s">
        <v>79</v>
      </c>
      <c r="C48" s="17" t="s">
        <v>80</v>
      </c>
      <c r="D48" s="17" t="s">
        <v>18</v>
      </c>
      <c r="E48" s="23" t="n">
        <v>850</v>
      </c>
      <c r="F48" s="17" t="s">
        <v>52</v>
      </c>
      <c r="G48" s="24" t="n">
        <v>4.1</v>
      </c>
      <c r="H48" s="17" t="s">
        <v>53</v>
      </c>
      <c r="I48" s="25" t="n">
        <v>46312</v>
      </c>
      <c r="J48" s="17"/>
      <c r="K48" s="26" t="s">
        <v>54</v>
      </c>
      <c r="L48" s="26" t="s">
        <v>55</v>
      </c>
      <c r="M48" s="18" t="n">
        <f aca="false">IF($F48="","",IF(ISNUMBER(SEARCH("no warranty",$F48)),0,IF(ISNUMBER(SEARCH("year",$F48)),12*VALUE(LEFT($F48,FIND(" ",$F48)-1)),IF(ISNUMBER(SEARCH("month",$F48)),VALUE(LEFT($F48,FIND(" ",$F48)-1)),""))))</f>
        <v>12</v>
      </c>
      <c r="N48" s="20" t="n">
        <f aca="false">IF(OR($H48&lt;&gt;"Yes",$E48=""),"",IF(_xlfn.MAXIFS($E$5:$E$60,$A$5:$A$60,$A48,$H$5:$H$60,"Yes")=_xlfn.MINIFS($E$5:$E$60,$A$5:$A$60,$A48,$H$5:$H$60,"Yes"),1,(_xlfn.MAXIFS($E$5:$E$60,$A$5:$A$60,$A48,$H$5:$H$60,"Yes")-$E48)/(_xlfn.MAXIFS($E$5:$E$60,$A$5:$A$60,$A48,$H$5:$H$60,"Yes")-_xlfn.MINIFS($E$5:$E$60,$A$5:$A$60,$A48,$H$5:$H$60,"Yes"))))</f>
        <v>0</v>
      </c>
      <c r="O48" s="20" t="n">
        <f aca="false">IF(OR($H48&lt;&gt;"Yes",$G48=""),"",IF(Weights!$B$10="Relative",IF(_xlfn.MAXIFS($G$5:$G$60,$A$5:$A$60,$A48,$H$5:$H$60,"Yes")=_xlfn.MINIFS($G$5:$G$60,$A$5:$A$60,$A48,$H$5:$H$60,"Yes"),1,($G48-_xlfn.MINIFS($G$5:$G$60,$A$5:$A$60,$A48,$H$5:$H$60,"Yes"))/(_xlfn.MAXIFS($G$5:$G$60,$A$5:$A$60,$A48,$H$5:$H$60,"Yes")-_xlfn.MINIFS($G$5:$G$60,$A$5:$A$60,$A48,$H$5:$H$60,"Yes"))),$G48/5))</f>
        <v>0.82</v>
      </c>
      <c r="P48" s="20" t="n">
        <f aca="false">IF(OR($H48&lt;&gt;"Yes",$M48=""),"",IF(_xlfn.MAXIFS($M$5:$M$60,$A$5:$A$60,$A48,$H$5:$H$60,"Yes")=_xlfn.MINIFS($M$5:$M$60,$A$5:$A$60,$A48,$H$5:$H$60,"Yes"),1,($M48-_xlfn.MINIFS($M$5:$M$60,$A$5:$A$60,$A48,$H$5:$H$60,"Yes"))/(_xlfn.MAXIFS($M$5:$M$60,$A$5:$A$60,$A48,$H$5:$H$60,"Yes")-_xlfn.MINIFS($M$5:$M$60,$A$5:$A$60,$A48,$H$5:$H$60,"Yes"))))</f>
        <v>1</v>
      </c>
      <c r="Q48" s="20" t="str">
        <f aca="false">IF(OR($H48&lt;&gt;"Yes",$J48=""),"",IF(_xlfn.MAXIFS($J$5:$J$60,$A$5:$A$60,$A48,$H$5:$H$60,"Yes")=_xlfn.MINIFS($J$5:$J$60,$A$5:$A$60,$A48,$H$5:$H$60,"Yes"),1,(_xlfn.MAXIFS($J$5:$J$60,$A$5:$A$60,$A48,$H$5:$H$60,"Yes")-$J48)/(_xlfn.MAXIFS($J$5:$J$60,$A$5:$A$60,$A48,$H$5:$H$60,"Yes")-_xlfn.MINIFS($J$5:$J$60,$A$5:$A$60,$A48,$H$5:$H$60,"Yes"))))</f>
        <v/>
      </c>
      <c r="R48" s="20" t="n">
        <f aca="false">IF($H48&lt;&gt;"Yes","",IFERROR(ROUND(100*(IF($N48="",0,Weights!$B$5*$N48)+IF($O48="",0,Weights!$B$6*$O48)+IF($P48="",0,Weights!$B$7*$P48)+IF($Q48="",0,Weights!$B$8*$Q48))/(IF($N48="",0,Weights!$B$5)+IF($O48="",0,Weights!$B$6)+IF($P48="",0,Weights!$B$7)+IF($Q48="",0,Weights!$B$8)),2),""))</f>
        <v>44.6</v>
      </c>
      <c r="S48" s="18" t="n">
        <f aca="false">IF($R48="","",COUNTIFS($A$5:$A$60,$A48,$R$5:$R$60,"&gt;"&amp;$R48)+1)</f>
        <v>3</v>
      </c>
      <c r="T48" s="18" t="n">
        <f aca="false">IF(OR($H48&lt;&gt;"Yes",$E48=""),"",COUNTIFS($A$5:$A$60,$A48,$H$5:$H$60,"Yes",$E$5:$E$60,"&lt;"&amp;$E48)+1)</f>
        <v>3</v>
      </c>
      <c r="U48" s="22" t="str">
        <f aca="false">IF($S48="","",$A48&amp;"|"&amp;$S48)</f>
        <v>15|3</v>
      </c>
      <c r="V48" s="22" t="str">
        <f aca="false">IF($T48="","",$A48&amp;"|"&amp;$T48)</f>
        <v>15|3</v>
      </c>
      <c r="W48" s="22" t="str">
        <f aca="false">IF($B48="","",$B48&amp;"|"&amp;$D48)</f>
        <v>Kids Cycle|Flipkart</v>
      </c>
    </row>
    <row r="49" customFormat="false" ht="15" hidden="false" customHeight="false" outlineLevel="0" collapsed="false">
      <c r="A49" s="17" t="n">
        <v>15</v>
      </c>
      <c r="B49" s="17" t="s">
        <v>79</v>
      </c>
      <c r="C49" s="17" t="s">
        <v>80</v>
      </c>
      <c r="D49" s="17" t="s">
        <v>19</v>
      </c>
      <c r="E49" s="23" t="n">
        <v>700</v>
      </c>
      <c r="F49" s="17" t="s">
        <v>52</v>
      </c>
      <c r="G49" s="24" t="n">
        <v>3.8</v>
      </c>
      <c r="H49" s="17" t="s">
        <v>53</v>
      </c>
      <c r="I49" s="25" t="n">
        <v>46312</v>
      </c>
      <c r="J49" s="17"/>
      <c r="K49" s="26" t="s">
        <v>54</v>
      </c>
      <c r="L49" s="26" t="s">
        <v>55</v>
      </c>
      <c r="M49" s="18" t="n">
        <f aca="false">IF($F49="","",IF(ISNUMBER(SEARCH("no warranty",$F49)),0,IF(ISNUMBER(SEARCH("year",$F49)),12*VALUE(LEFT($F49,FIND(" ",$F49)-1)),IF(ISNUMBER(SEARCH("month",$F49)),VALUE(LEFT($F49,FIND(" ",$F49)-1)),""))))</f>
        <v>12</v>
      </c>
      <c r="N49" s="20" t="n">
        <f aca="false">IF(OR($H49&lt;&gt;"Yes",$E49=""),"",IF(_xlfn.MAXIFS($E$5:$E$60,$A$5:$A$60,$A49,$H$5:$H$60,"Yes")=_xlfn.MINIFS($E$5:$E$60,$A$5:$A$60,$A49,$H$5:$H$60,"Yes"),1,(_xlfn.MAXIFS($E$5:$E$60,$A$5:$A$60,$A49,$H$5:$H$60,"Yes")-$E49)/(_xlfn.MAXIFS($E$5:$E$60,$A$5:$A$60,$A49,$H$5:$H$60,"Yes")-_xlfn.MINIFS($E$5:$E$60,$A$5:$A$60,$A49,$H$5:$H$60,"Yes"))))</f>
        <v>1</v>
      </c>
      <c r="O49" s="20" t="n">
        <f aca="false">IF(OR($H49&lt;&gt;"Yes",$G49=""),"",IF(Weights!$B$10="Relative",IF(_xlfn.MAXIFS($G$5:$G$60,$A$5:$A$60,$A49,$H$5:$H$60,"Yes")=_xlfn.MINIFS($G$5:$G$60,$A$5:$A$60,$A49,$H$5:$H$60,"Yes"),1,($G49-_xlfn.MINIFS($G$5:$G$60,$A$5:$A$60,$A49,$H$5:$H$60,"Yes"))/(_xlfn.MAXIFS($G$5:$G$60,$A$5:$A$60,$A49,$H$5:$H$60,"Yes")-_xlfn.MINIFS($G$5:$G$60,$A$5:$A$60,$A49,$H$5:$H$60,"Yes"))),$G49/5))</f>
        <v>0.76</v>
      </c>
      <c r="P49" s="20" t="n">
        <f aca="false">IF(OR($H49&lt;&gt;"Yes",$M49=""),"",IF(_xlfn.MAXIFS($M$5:$M$60,$A$5:$A$60,$A49,$H$5:$H$60,"Yes")=_xlfn.MINIFS($M$5:$M$60,$A$5:$A$60,$A49,$H$5:$H$60,"Yes"),1,($M49-_xlfn.MINIFS($M$5:$M$60,$A$5:$A$60,$A49,$H$5:$H$60,"Yes"))/(_xlfn.MAXIFS($M$5:$M$60,$A$5:$A$60,$A49,$H$5:$H$60,"Yes")-_xlfn.MINIFS($M$5:$M$60,$A$5:$A$60,$A49,$H$5:$H$60,"Yes"))))</f>
        <v>1</v>
      </c>
      <c r="Q49" s="20" t="str">
        <f aca="false">IF(OR($H49&lt;&gt;"Yes",$J49=""),"",IF(_xlfn.MAXIFS($J$5:$J$60,$A$5:$A$60,$A49,$H$5:$H$60,"Yes")=_xlfn.MINIFS($J$5:$J$60,$A$5:$A$60,$A49,$H$5:$H$60,"Yes"),1,(_xlfn.MAXIFS($J$5:$J$60,$A$5:$A$60,$A49,$H$5:$H$60,"Yes")-$J49)/(_xlfn.MAXIFS($J$5:$J$60,$A$5:$A$60,$A49,$H$5:$H$60,"Yes")-_xlfn.MINIFS($J$5:$J$60,$A$5:$A$60,$A49,$H$5:$H$60,"Yes"))))</f>
        <v/>
      </c>
      <c r="R49" s="20" t="n">
        <f aca="false">IF($H49&lt;&gt;"Yes","",IFERROR(ROUND(100*(IF($N49="",0,Weights!$B$5*$N49)+IF($O49="",0,Weights!$B$6*$O49)+IF($P49="",0,Weights!$B$7*$P49)+IF($Q49="",0,Weights!$B$8*$Q49))/(IF($N49="",0,Weights!$B$5)+IF($O49="",0,Weights!$B$6)+IF($P49="",0,Weights!$B$7)+IF($Q49="",0,Weights!$B$8)),2),""))</f>
        <v>92.8</v>
      </c>
      <c r="S49" s="18" t="n">
        <f aca="false">IF($R49="","",COUNTIFS($A$5:$A$60,$A49,$R$5:$R$60,"&gt;"&amp;$R49)+1)</f>
        <v>1</v>
      </c>
      <c r="T49" s="18" t="n">
        <f aca="false">IF(OR($H49&lt;&gt;"Yes",$E49=""),"",COUNTIFS($A$5:$A$60,$A49,$H$5:$H$60,"Yes",$E$5:$E$60,"&lt;"&amp;$E49)+1)</f>
        <v>1</v>
      </c>
      <c r="U49" s="22" t="str">
        <f aca="false">IF($S49="","",$A49&amp;"|"&amp;$S49)</f>
        <v>15|1</v>
      </c>
      <c r="V49" s="22" t="str">
        <f aca="false">IF($T49="","",$A49&amp;"|"&amp;$T49)</f>
        <v>15|1</v>
      </c>
      <c r="W49" s="22" t="str">
        <f aca="false">IF($B49="","",$B49&amp;"|"&amp;$D49)</f>
        <v>Kids Cycle|Meesho</v>
      </c>
    </row>
    <row r="50" customFormat="false" ht="15" hidden="false" customHeight="false" outlineLevel="0" collapsed="false">
      <c r="A50" s="17"/>
      <c r="B50" s="17"/>
      <c r="C50" s="17"/>
      <c r="D50" s="17"/>
      <c r="E50" s="23"/>
      <c r="F50" s="17"/>
      <c r="G50" s="24"/>
      <c r="H50" s="17"/>
      <c r="I50" s="25"/>
      <c r="J50" s="17"/>
      <c r="K50" s="17"/>
      <c r="L50" s="17"/>
      <c r="M50" s="18" t="str">
        <f aca="false">IF($F50="","",IF(ISNUMBER(SEARCH("no warranty",$F50)),0,IF(ISNUMBER(SEARCH("year",$F50)),12*VALUE(LEFT($F50,FIND(" ",$F50)-1)),IF(ISNUMBER(SEARCH("month",$F50)),VALUE(LEFT($F50,FIND(" ",$F50)-1)),""))))</f>
        <v/>
      </c>
      <c r="N50" s="20" t="str">
        <f aca="false">IF(OR($H50&lt;&gt;"Yes",$E50=""),"",IF(_xlfn.MAXIFS($E$5:$E$60,$A$5:$A$60,$A50,$H$5:$H$60,"Yes")=_xlfn.MINIFS($E$5:$E$60,$A$5:$A$60,$A50,$H$5:$H$60,"Yes"),1,(_xlfn.MAXIFS($E$5:$E$60,$A$5:$A$60,$A50,$H$5:$H$60,"Yes")-$E50)/(_xlfn.MAXIFS($E$5:$E$60,$A$5:$A$60,$A50,$H$5:$H$60,"Yes")-_xlfn.MINIFS($E$5:$E$60,$A$5:$A$60,$A50,$H$5:$H$60,"Yes"))))</f>
        <v/>
      </c>
      <c r="O50" s="20" t="str">
        <f aca="false">IF(OR($H50&lt;&gt;"Yes",$G50=""),"",IF(Weights!$B$10="Relative",IF(_xlfn.MAXIFS($G$5:$G$60,$A$5:$A$60,$A50,$H$5:$H$60,"Yes")=_xlfn.MINIFS($G$5:$G$60,$A$5:$A$60,$A50,$H$5:$H$60,"Yes"),1,($G50-_xlfn.MINIFS($G$5:$G$60,$A$5:$A$60,$A50,$H$5:$H$60,"Yes"))/(_xlfn.MAXIFS($G$5:$G$60,$A$5:$A$60,$A50,$H$5:$H$60,"Yes")-_xlfn.MINIFS($G$5:$G$60,$A$5:$A$60,$A50,$H$5:$H$60,"Yes"))),$G50/5))</f>
        <v/>
      </c>
      <c r="P50" s="20" t="str">
        <f aca="false">IF(OR($H50&lt;&gt;"Yes",$M50=""),"",IF(_xlfn.MAXIFS($M$5:$M$60,$A$5:$A$60,$A50,$H$5:$H$60,"Yes")=_xlfn.MINIFS($M$5:$M$60,$A$5:$A$60,$A50,$H$5:$H$60,"Yes"),1,($M50-_xlfn.MINIFS($M$5:$M$60,$A$5:$A$60,$A50,$H$5:$H$60,"Yes"))/(_xlfn.MAXIFS($M$5:$M$60,$A$5:$A$60,$A50,$H$5:$H$60,"Yes")-_xlfn.MINIFS($M$5:$M$60,$A$5:$A$60,$A50,$H$5:$H$60,"Yes"))))</f>
        <v/>
      </c>
      <c r="Q50" s="20" t="str">
        <f aca="false">IF(OR($H50&lt;&gt;"Yes",$J50=""),"",IF(_xlfn.MAXIFS($J$5:$J$60,$A$5:$A$60,$A50,$H$5:$H$60,"Yes")=_xlfn.MINIFS($J$5:$J$60,$A$5:$A$60,$A50,$H$5:$H$60,"Yes"),1,(_xlfn.MAXIFS($J$5:$J$60,$A$5:$A$60,$A50,$H$5:$H$60,"Yes")-$J50)/(_xlfn.MAXIFS($J$5:$J$60,$A$5:$A$60,$A50,$H$5:$H$60,"Yes")-_xlfn.MINIFS($J$5:$J$60,$A$5:$A$60,$A50,$H$5:$H$60,"Yes"))))</f>
        <v/>
      </c>
      <c r="R50" s="20" t="str">
        <f aca="false">IF($H50&lt;&gt;"Yes","",IFERROR(ROUND(100*(IF($N50="",0,Weights!$B$5*$N50)+IF($O50="",0,Weights!$B$6*$O50)+IF($P50="",0,Weights!$B$7*$P50)+IF($Q50="",0,Weights!$B$8*$Q50))/(IF($N50="",0,Weights!$B$5)+IF($O50="",0,Weights!$B$6)+IF($P50="",0,Weights!$B$7)+IF($Q50="",0,Weights!$B$8)),2),""))</f>
        <v/>
      </c>
      <c r="S50" s="18" t="str">
        <f aca="false">IF($R50="","",COUNTIFS($A$5:$A$60,$A50,$R$5:$R$60,"&gt;"&amp;$R50)+1)</f>
        <v/>
      </c>
      <c r="T50" s="18" t="str">
        <f aca="false">IF(OR($H50&lt;&gt;"Yes",$E50=""),"",COUNTIFS($A$5:$A$60,$A50,$H$5:$H$60,"Yes",$E$5:$E$60,"&lt;"&amp;$E50)+1)</f>
        <v/>
      </c>
      <c r="U50" s="22" t="str">
        <f aca="false">IF($S50="","",$A50&amp;"|"&amp;$S50)</f>
        <v/>
      </c>
      <c r="V50" s="22" t="str">
        <f aca="false">IF($T50="","",$A50&amp;"|"&amp;$T50)</f>
        <v/>
      </c>
      <c r="W50" s="22" t="str">
        <f aca="false">IF($B50="","",$B50&amp;"|"&amp;$D50)</f>
        <v/>
      </c>
    </row>
    <row r="51" customFormat="false" ht="15" hidden="false" customHeight="false" outlineLevel="0" collapsed="false">
      <c r="A51" s="17"/>
      <c r="B51" s="17"/>
      <c r="C51" s="17"/>
      <c r="D51" s="17"/>
      <c r="E51" s="23"/>
      <c r="F51" s="17"/>
      <c r="G51" s="24"/>
      <c r="H51" s="17"/>
      <c r="I51" s="25"/>
      <c r="J51" s="17"/>
      <c r="K51" s="17"/>
      <c r="L51" s="17"/>
      <c r="M51" s="18" t="str">
        <f aca="false">IF($F51="","",IF(ISNUMBER(SEARCH("no warranty",$F51)),0,IF(ISNUMBER(SEARCH("year",$F51)),12*VALUE(LEFT($F51,FIND(" ",$F51)-1)),IF(ISNUMBER(SEARCH("month",$F51)),VALUE(LEFT($F51,FIND(" ",$F51)-1)),""))))</f>
        <v/>
      </c>
      <c r="N51" s="20" t="str">
        <f aca="false">IF(OR($H51&lt;&gt;"Yes",$E51=""),"",IF(_xlfn.MAXIFS($E$5:$E$60,$A$5:$A$60,$A51,$H$5:$H$60,"Yes")=_xlfn.MINIFS($E$5:$E$60,$A$5:$A$60,$A51,$H$5:$H$60,"Yes"),1,(_xlfn.MAXIFS($E$5:$E$60,$A$5:$A$60,$A51,$H$5:$H$60,"Yes")-$E51)/(_xlfn.MAXIFS($E$5:$E$60,$A$5:$A$60,$A51,$H$5:$H$60,"Yes")-_xlfn.MINIFS($E$5:$E$60,$A$5:$A$60,$A51,$H$5:$H$60,"Yes"))))</f>
        <v/>
      </c>
      <c r="O51" s="20" t="str">
        <f aca="false">IF(OR($H51&lt;&gt;"Yes",$G51=""),"",IF(Weights!$B$10="Relative",IF(_xlfn.MAXIFS($G$5:$G$60,$A$5:$A$60,$A51,$H$5:$H$60,"Yes")=_xlfn.MINIFS($G$5:$G$60,$A$5:$A$60,$A51,$H$5:$H$60,"Yes"),1,($G51-_xlfn.MINIFS($G$5:$G$60,$A$5:$A$60,$A51,$H$5:$H$60,"Yes"))/(_xlfn.MAXIFS($G$5:$G$60,$A$5:$A$60,$A51,$H$5:$H$60,"Yes")-_xlfn.MINIFS($G$5:$G$60,$A$5:$A$60,$A51,$H$5:$H$60,"Yes"))),$G51/5))</f>
        <v/>
      </c>
      <c r="P51" s="20" t="str">
        <f aca="false">IF(OR($H51&lt;&gt;"Yes",$M51=""),"",IF(_xlfn.MAXIFS($M$5:$M$60,$A$5:$A$60,$A51,$H$5:$H$60,"Yes")=_xlfn.MINIFS($M$5:$M$60,$A$5:$A$60,$A51,$H$5:$H$60,"Yes"),1,($M51-_xlfn.MINIFS($M$5:$M$60,$A$5:$A$60,$A51,$H$5:$H$60,"Yes"))/(_xlfn.MAXIFS($M$5:$M$60,$A$5:$A$60,$A51,$H$5:$H$60,"Yes")-_xlfn.MINIFS($M$5:$M$60,$A$5:$A$60,$A51,$H$5:$H$60,"Yes"))))</f>
        <v/>
      </c>
      <c r="Q51" s="20" t="str">
        <f aca="false">IF(OR($H51&lt;&gt;"Yes",$J51=""),"",IF(_xlfn.MAXIFS($J$5:$J$60,$A$5:$A$60,$A51,$H$5:$H$60,"Yes")=_xlfn.MINIFS($J$5:$J$60,$A$5:$A$60,$A51,$H$5:$H$60,"Yes"),1,(_xlfn.MAXIFS($J$5:$J$60,$A$5:$A$60,$A51,$H$5:$H$60,"Yes")-$J51)/(_xlfn.MAXIFS($J$5:$J$60,$A$5:$A$60,$A51,$H$5:$H$60,"Yes")-_xlfn.MINIFS($J$5:$J$60,$A$5:$A$60,$A51,$H$5:$H$60,"Yes"))))</f>
        <v/>
      </c>
      <c r="R51" s="20" t="str">
        <f aca="false">IF($H51&lt;&gt;"Yes","",IFERROR(ROUND(100*(IF($N51="",0,Weights!$B$5*$N51)+IF($O51="",0,Weights!$B$6*$O51)+IF($P51="",0,Weights!$B$7*$P51)+IF($Q51="",0,Weights!$B$8*$Q51))/(IF($N51="",0,Weights!$B$5)+IF($O51="",0,Weights!$B$6)+IF($P51="",0,Weights!$B$7)+IF($Q51="",0,Weights!$B$8)),2),""))</f>
        <v/>
      </c>
      <c r="S51" s="18" t="str">
        <f aca="false">IF($R51="","",COUNTIFS($A$5:$A$60,$A51,$R$5:$R$60,"&gt;"&amp;$R51)+1)</f>
        <v/>
      </c>
      <c r="T51" s="18" t="str">
        <f aca="false">IF(OR($H51&lt;&gt;"Yes",$E51=""),"",COUNTIFS($A$5:$A$60,$A51,$H$5:$H$60,"Yes",$E$5:$E$60,"&lt;"&amp;$E51)+1)</f>
        <v/>
      </c>
      <c r="U51" s="22" t="str">
        <f aca="false">IF($S51="","",$A51&amp;"|"&amp;$S51)</f>
        <v/>
      </c>
      <c r="V51" s="22" t="str">
        <f aca="false">IF($T51="","",$A51&amp;"|"&amp;$T51)</f>
        <v/>
      </c>
      <c r="W51" s="22" t="str">
        <f aca="false">IF($B51="","",$B51&amp;"|"&amp;$D51)</f>
        <v/>
      </c>
    </row>
    <row r="52" customFormat="false" ht="15" hidden="false" customHeight="false" outlineLevel="0" collapsed="false">
      <c r="A52" s="17"/>
      <c r="B52" s="17"/>
      <c r="C52" s="17"/>
      <c r="D52" s="17"/>
      <c r="E52" s="23"/>
      <c r="F52" s="17"/>
      <c r="G52" s="24"/>
      <c r="H52" s="17"/>
      <c r="I52" s="25"/>
      <c r="J52" s="17"/>
      <c r="K52" s="17"/>
      <c r="L52" s="17"/>
      <c r="M52" s="18" t="str">
        <f aca="false">IF($F52="","",IF(ISNUMBER(SEARCH("no warranty",$F52)),0,IF(ISNUMBER(SEARCH("year",$F52)),12*VALUE(LEFT($F52,FIND(" ",$F52)-1)),IF(ISNUMBER(SEARCH("month",$F52)),VALUE(LEFT($F52,FIND(" ",$F52)-1)),""))))</f>
        <v/>
      </c>
      <c r="N52" s="20" t="str">
        <f aca="false">IF(OR($H52&lt;&gt;"Yes",$E52=""),"",IF(_xlfn.MAXIFS($E$5:$E$60,$A$5:$A$60,$A52,$H$5:$H$60,"Yes")=_xlfn.MINIFS($E$5:$E$60,$A$5:$A$60,$A52,$H$5:$H$60,"Yes"),1,(_xlfn.MAXIFS($E$5:$E$60,$A$5:$A$60,$A52,$H$5:$H$60,"Yes")-$E52)/(_xlfn.MAXIFS($E$5:$E$60,$A$5:$A$60,$A52,$H$5:$H$60,"Yes")-_xlfn.MINIFS($E$5:$E$60,$A$5:$A$60,$A52,$H$5:$H$60,"Yes"))))</f>
        <v/>
      </c>
      <c r="O52" s="20" t="str">
        <f aca="false">IF(OR($H52&lt;&gt;"Yes",$G52=""),"",IF(Weights!$B$10="Relative",IF(_xlfn.MAXIFS($G$5:$G$60,$A$5:$A$60,$A52,$H$5:$H$60,"Yes")=_xlfn.MINIFS($G$5:$G$60,$A$5:$A$60,$A52,$H$5:$H$60,"Yes"),1,($G52-_xlfn.MINIFS($G$5:$G$60,$A$5:$A$60,$A52,$H$5:$H$60,"Yes"))/(_xlfn.MAXIFS($G$5:$G$60,$A$5:$A$60,$A52,$H$5:$H$60,"Yes")-_xlfn.MINIFS($G$5:$G$60,$A$5:$A$60,$A52,$H$5:$H$60,"Yes"))),$G52/5))</f>
        <v/>
      </c>
      <c r="P52" s="20" t="str">
        <f aca="false">IF(OR($H52&lt;&gt;"Yes",$M52=""),"",IF(_xlfn.MAXIFS($M$5:$M$60,$A$5:$A$60,$A52,$H$5:$H$60,"Yes")=_xlfn.MINIFS($M$5:$M$60,$A$5:$A$60,$A52,$H$5:$H$60,"Yes"),1,($M52-_xlfn.MINIFS($M$5:$M$60,$A$5:$A$60,$A52,$H$5:$H$60,"Yes"))/(_xlfn.MAXIFS($M$5:$M$60,$A$5:$A$60,$A52,$H$5:$H$60,"Yes")-_xlfn.MINIFS($M$5:$M$60,$A$5:$A$60,$A52,$H$5:$H$60,"Yes"))))</f>
        <v/>
      </c>
      <c r="Q52" s="20" t="str">
        <f aca="false">IF(OR($H52&lt;&gt;"Yes",$J52=""),"",IF(_xlfn.MAXIFS($J$5:$J$60,$A$5:$A$60,$A52,$H$5:$H$60,"Yes")=_xlfn.MINIFS($J$5:$J$60,$A$5:$A$60,$A52,$H$5:$H$60,"Yes"),1,(_xlfn.MAXIFS($J$5:$J$60,$A$5:$A$60,$A52,$H$5:$H$60,"Yes")-$J52)/(_xlfn.MAXIFS($J$5:$J$60,$A$5:$A$60,$A52,$H$5:$H$60,"Yes")-_xlfn.MINIFS($J$5:$J$60,$A$5:$A$60,$A52,$H$5:$H$60,"Yes"))))</f>
        <v/>
      </c>
      <c r="R52" s="20" t="str">
        <f aca="false">IF($H52&lt;&gt;"Yes","",IFERROR(ROUND(100*(IF($N52="",0,Weights!$B$5*$N52)+IF($O52="",0,Weights!$B$6*$O52)+IF($P52="",0,Weights!$B$7*$P52)+IF($Q52="",0,Weights!$B$8*$Q52))/(IF($N52="",0,Weights!$B$5)+IF($O52="",0,Weights!$B$6)+IF($P52="",0,Weights!$B$7)+IF($Q52="",0,Weights!$B$8)),2),""))</f>
        <v/>
      </c>
      <c r="S52" s="18" t="str">
        <f aca="false">IF($R52="","",COUNTIFS($A$5:$A$60,$A52,$R$5:$R$60,"&gt;"&amp;$R52)+1)</f>
        <v/>
      </c>
      <c r="T52" s="18" t="str">
        <f aca="false">IF(OR($H52&lt;&gt;"Yes",$E52=""),"",COUNTIFS($A$5:$A$60,$A52,$H$5:$H$60,"Yes",$E$5:$E$60,"&lt;"&amp;$E52)+1)</f>
        <v/>
      </c>
      <c r="U52" s="22" t="str">
        <f aca="false">IF($S52="","",$A52&amp;"|"&amp;$S52)</f>
        <v/>
      </c>
      <c r="V52" s="22" t="str">
        <f aca="false">IF($T52="","",$A52&amp;"|"&amp;$T52)</f>
        <v/>
      </c>
      <c r="W52" s="22" t="str">
        <f aca="false">IF($B52="","",$B52&amp;"|"&amp;$D52)</f>
        <v/>
      </c>
    </row>
    <row r="53" customFormat="false" ht="15" hidden="false" customHeight="false" outlineLevel="0" collapsed="false">
      <c r="A53" s="17"/>
      <c r="B53" s="17"/>
      <c r="C53" s="17"/>
      <c r="D53" s="17"/>
      <c r="E53" s="23"/>
      <c r="F53" s="17"/>
      <c r="G53" s="24"/>
      <c r="H53" s="17"/>
      <c r="I53" s="25"/>
      <c r="J53" s="17"/>
      <c r="K53" s="17"/>
      <c r="L53" s="17"/>
      <c r="M53" s="18" t="str">
        <f aca="false">IF($F53="","",IF(ISNUMBER(SEARCH("no warranty",$F53)),0,IF(ISNUMBER(SEARCH("year",$F53)),12*VALUE(LEFT($F53,FIND(" ",$F53)-1)),IF(ISNUMBER(SEARCH("month",$F53)),VALUE(LEFT($F53,FIND(" ",$F53)-1)),""))))</f>
        <v/>
      </c>
      <c r="N53" s="20" t="str">
        <f aca="false">IF(OR($H53&lt;&gt;"Yes",$E53=""),"",IF(_xlfn.MAXIFS($E$5:$E$60,$A$5:$A$60,$A53,$H$5:$H$60,"Yes")=_xlfn.MINIFS($E$5:$E$60,$A$5:$A$60,$A53,$H$5:$H$60,"Yes"),1,(_xlfn.MAXIFS($E$5:$E$60,$A$5:$A$60,$A53,$H$5:$H$60,"Yes")-$E53)/(_xlfn.MAXIFS($E$5:$E$60,$A$5:$A$60,$A53,$H$5:$H$60,"Yes")-_xlfn.MINIFS($E$5:$E$60,$A$5:$A$60,$A53,$H$5:$H$60,"Yes"))))</f>
        <v/>
      </c>
      <c r="O53" s="20" t="str">
        <f aca="false">IF(OR($H53&lt;&gt;"Yes",$G53=""),"",IF(Weights!$B$10="Relative",IF(_xlfn.MAXIFS($G$5:$G$60,$A$5:$A$60,$A53,$H$5:$H$60,"Yes")=_xlfn.MINIFS($G$5:$G$60,$A$5:$A$60,$A53,$H$5:$H$60,"Yes"),1,($G53-_xlfn.MINIFS($G$5:$G$60,$A$5:$A$60,$A53,$H$5:$H$60,"Yes"))/(_xlfn.MAXIFS($G$5:$G$60,$A$5:$A$60,$A53,$H$5:$H$60,"Yes")-_xlfn.MINIFS($G$5:$G$60,$A$5:$A$60,$A53,$H$5:$H$60,"Yes"))),$G53/5))</f>
        <v/>
      </c>
      <c r="P53" s="20" t="str">
        <f aca="false">IF(OR($H53&lt;&gt;"Yes",$M53=""),"",IF(_xlfn.MAXIFS($M$5:$M$60,$A$5:$A$60,$A53,$H$5:$H$60,"Yes")=_xlfn.MINIFS($M$5:$M$60,$A$5:$A$60,$A53,$H$5:$H$60,"Yes"),1,($M53-_xlfn.MINIFS($M$5:$M$60,$A$5:$A$60,$A53,$H$5:$H$60,"Yes"))/(_xlfn.MAXIFS($M$5:$M$60,$A$5:$A$60,$A53,$H$5:$H$60,"Yes")-_xlfn.MINIFS($M$5:$M$60,$A$5:$A$60,$A53,$H$5:$H$60,"Yes"))))</f>
        <v/>
      </c>
      <c r="Q53" s="20" t="str">
        <f aca="false">IF(OR($H53&lt;&gt;"Yes",$J53=""),"",IF(_xlfn.MAXIFS($J$5:$J$60,$A$5:$A$60,$A53,$H$5:$H$60,"Yes")=_xlfn.MINIFS($J$5:$J$60,$A$5:$A$60,$A53,$H$5:$H$60,"Yes"),1,(_xlfn.MAXIFS($J$5:$J$60,$A$5:$A$60,$A53,$H$5:$H$60,"Yes")-$J53)/(_xlfn.MAXIFS($J$5:$J$60,$A$5:$A$60,$A53,$H$5:$H$60,"Yes")-_xlfn.MINIFS($J$5:$J$60,$A$5:$A$60,$A53,$H$5:$H$60,"Yes"))))</f>
        <v/>
      </c>
      <c r="R53" s="20" t="str">
        <f aca="false">IF($H53&lt;&gt;"Yes","",IFERROR(ROUND(100*(IF($N53="",0,Weights!$B$5*$N53)+IF($O53="",0,Weights!$B$6*$O53)+IF($P53="",0,Weights!$B$7*$P53)+IF($Q53="",0,Weights!$B$8*$Q53))/(IF($N53="",0,Weights!$B$5)+IF($O53="",0,Weights!$B$6)+IF($P53="",0,Weights!$B$7)+IF($Q53="",0,Weights!$B$8)),2),""))</f>
        <v/>
      </c>
      <c r="S53" s="18" t="str">
        <f aca="false">IF($R53="","",COUNTIFS($A$5:$A$60,$A53,$R$5:$R$60,"&gt;"&amp;$R53)+1)</f>
        <v/>
      </c>
      <c r="T53" s="18" t="str">
        <f aca="false">IF(OR($H53&lt;&gt;"Yes",$E53=""),"",COUNTIFS($A$5:$A$60,$A53,$H$5:$H$60,"Yes",$E$5:$E$60,"&lt;"&amp;$E53)+1)</f>
        <v/>
      </c>
      <c r="U53" s="22" t="str">
        <f aca="false">IF($S53="","",$A53&amp;"|"&amp;$S53)</f>
        <v/>
      </c>
      <c r="V53" s="22" t="str">
        <f aca="false">IF($T53="","",$A53&amp;"|"&amp;$T53)</f>
        <v/>
      </c>
      <c r="W53" s="22" t="str">
        <f aca="false">IF($B53="","",$B53&amp;"|"&amp;$D53)</f>
        <v/>
      </c>
    </row>
    <row r="54" customFormat="false" ht="15" hidden="false" customHeight="false" outlineLevel="0" collapsed="false">
      <c r="A54" s="17"/>
      <c r="B54" s="17"/>
      <c r="C54" s="17"/>
      <c r="D54" s="17"/>
      <c r="E54" s="23"/>
      <c r="F54" s="17"/>
      <c r="G54" s="24"/>
      <c r="H54" s="17"/>
      <c r="I54" s="25"/>
      <c r="J54" s="17"/>
      <c r="K54" s="17"/>
      <c r="L54" s="17"/>
      <c r="M54" s="18" t="str">
        <f aca="false">IF($F54="","",IF(ISNUMBER(SEARCH("no warranty",$F54)),0,IF(ISNUMBER(SEARCH("year",$F54)),12*VALUE(LEFT($F54,FIND(" ",$F54)-1)),IF(ISNUMBER(SEARCH("month",$F54)),VALUE(LEFT($F54,FIND(" ",$F54)-1)),""))))</f>
        <v/>
      </c>
      <c r="N54" s="20" t="str">
        <f aca="false">IF(OR($H54&lt;&gt;"Yes",$E54=""),"",IF(_xlfn.MAXIFS($E$5:$E$60,$A$5:$A$60,$A54,$H$5:$H$60,"Yes")=_xlfn.MINIFS($E$5:$E$60,$A$5:$A$60,$A54,$H$5:$H$60,"Yes"),1,(_xlfn.MAXIFS($E$5:$E$60,$A$5:$A$60,$A54,$H$5:$H$60,"Yes")-$E54)/(_xlfn.MAXIFS($E$5:$E$60,$A$5:$A$60,$A54,$H$5:$H$60,"Yes")-_xlfn.MINIFS($E$5:$E$60,$A$5:$A$60,$A54,$H$5:$H$60,"Yes"))))</f>
        <v/>
      </c>
      <c r="O54" s="20" t="str">
        <f aca="false">IF(OR($H54&lt;&gt;"Yes",$G54=""),"",IF(Weights!$B$10="Relative",IF(_xlfn.MAXIFS($G$5:$G$60,$A$5:$A$60,$A54,$H$5:$H$60,"Yes")=_xlfn.MINIFS($G$5:$G$60,$A$5:$A$60,$A54,$H$5:$H$60,"Yes"),1,($G54-_xlfn.MINIFS($G$5:$G$60,$A$5:$A$60,$A54,$H$5:$H$60,"Yes"))/(_xlfn.MAXIFS($G$5:$G$60,$A$5:$A$60,$A54,$H$5:$H$60,"Yes")-_xlfn.MINIFS($G$5:$G$60,$A$5:$A$60,$A54,$H$5:$H$60,"Yes"))),$G54/5))</f>
        <v/>
      </c>
      <c r="P54" s="20" t="str">
        <f aca="false">IF(OR($H54&lt;&gt;"Yes",$M54=""),"",IF(_xlfn.MAXIFS($M$5:$M$60,$A$5:$A$60,$A54,$H$5:$H$60,"Yes")=_xlfn.MINIFS($M$5:$M$60,$A$5:$A$60,$A54,$H$5:$H$60,"Yes"),1,($M54-_xlfn.MINIFS($M$5:$M$60,$A$5:$A$60,$A54,$H$5:$H$60,"Yes"))/(_xlfn.MAXIFS($M$5:$M$60,$A$5:$A$60,$A54,$H$5:$H$60,"Yes")-_xlfn.MINIFS($M$5:$M$60,$A$5:$A$60,$A54,$H$5:$H$60,"Yes"))))</f>
        <v/>
      </c>
      <c r="Q54" s="20" t="str">
        <f aca="false">IF(OR($H54&lt;&gt;"Yes",$J54=""),"",IF(_xlfn.MAXIFS($J$5:$J$60,$A$5:$A$60,$A54,$H$5:$H$60,"Yes")=_xlfn.MINIFS($J$5:$J$60,$A$5:$A$60,$A54,$H$5:$H$60,"Yes"),1,(_xlfn.MAXIFS($J$5:$J$60,$A$5:$A$60,$A54,$H$5:$H$60,"Yes")-$J54)/(_xlfn.MAXIFS($J$5:$J$60,$A$5:$A$60,$A54,$H$5:$H$60,"Yes")-_xlfn.MINIFS($J$5:$J$60,$A$5:$A$60,$A54,$H$5:$H$60,"Yes"))))</f>
        <v/>
      </c>
      <c r="R54" s="20" t="str">
        <f aca="false">IF($H54&lt;&gt;"Yes","",IFERROR(ROUND(100*(IF($N54="",0,Weights!$B$5*$N54)+IF($O54="",0,Weights!$B$6*$O54)+IF($P54="",0,Weights!$B$7*$P54)+IF($Q54="",0,Weights!$B$8*$Q54))/(IF($N54="",0,Weights!$B$5)+IF($O54="",0,Weights!$B$6)+IF($P54="",0,Weights!$B$7)+IF($Q54="",0,Weights!$B$8)),2),""))</f>
        <v/>
      </c>
      <c r="S54" s="18" t="str">
        <f aca="false">IF($R54="","",COUNTIFS($A$5:$A$60,$A54,$R$5:$R$60,"&gt;"&amp;$R54)+1)</f>
        <v/>
      </c>
      <c r="T54" s="18" t="str">
        <f aca="false">IF(OR($H54&lt;&gt;"Yes",$E54=""),"",COUNTIFS($A$5:$A$60,$A54,$H$5:$H$60,"Yes",$E$5:$E$60,"&lt;"&amp;$E54)+1)</f>
        <v/>
      </c>
      <c r="U54" s="22" t="str">
        <f aca="false">IF($S54="","",$A54&amp;"|"&amp;$S54)</f>
        <v/>
      </c>
      <c r="V54" s="22" t="str">
        <f aca="false">IF($T54="","",$A54&amp;"|"&amp;$T54)</f>
        <v/>
      </c>
      <c r="W54" s="22" t="str">
        <f aca="false">IF($B54="","",$B54&amp;"|"&amp;$D54)</f>
        <v/>
      </c>
    </row>
    <row r="55" customFormat="false" ht="15" hidden="false" customHeight="false" outlineLevel="0" collapsed="false">
      <c r="A55" s="17"/>
      <c r="B55" s="17"/>
      <c r="C55" s="17"/>
      <c r="D55" s="17"/>
      <c r="E55" s="23"/>
      <c r="F55" s="17"/>
      <c r="G55" s="24"/>
      <c r="H55" s="17"/>
      <c r="I55" s="25"/>
      <c r="J55" s="17"/>
      <c r="K55" s="17"/>
      <c r="L55" s="17"/>
      <c r="M55" s="18" t="str">
        <f aca="false">IF($F55="","",IF(ISNUMBER(SEARCH("no warranty",$F55)),0,IF(ISNUMBER(SEARCH("year",$F55)),12*VALUE(LEFT($F55,FIND(" ",$F55)-1)),IF(ISNUMBER(SEARCH("month",$F55)),VALUE(LEFT($F55,FIND(" ",$F55)-1)),""))))</f>
        <v/>
      </c>
      <c r="N55" s="20" t="str">
        <f aca="false">IF(OR($H55&lt;&gt;"Yes",$E55=""),"",IF(_xlfn.MAXIFS($E$5:$E$60,$A$5:$A$60,$A55,$H$5:$H$60,"Yes")=_xlfn.MINIFS($E$5:$E$60,$A$5:$A$60,$A55,$H$5:$H$60,"Yes"),1,(_xlfn.MAXIFS($E$5:$E$60,$A$5:$A$60,$A55,$H$5:$H$60,"Yes")-$E55)/(_xlfn.MAXIFS($E$5:$E$60,$A$5:$A$60,$A55,$H$5:$H$60,"Yes")-_xlfn.MINIFS($E$5:$E$60,$A$5:$A$60,$A55,$H$5:$H$60,"Yes"))))</f>
        <v/>
      </c>
      <c r="O55" s="20" t="str">
        <f aca="false">IF(OR($H55&lt;&gt;"Yes",$G55=""),"",IF(Weights!$B$10="Relative",IF(_xlfn.MAXIFS($G$5:$G$60,$A$5:$A$60,$A55,$H$5:$H$60,"Yes")=_xlfn.MINIFS($G$5:$G$60,$A$5:$A$60,$A55,$H$5:$H$60,"Yes"),1,($G55-_xlfn.MINIFS($G$5:$G$60,$A$5:$A$60,$A55,$H$5:$H$60,"Yes"))/(_xlfn.MAXIFS($G$5:$G$60,$A$5:$A$60,$A55,$H$5:$H$60,"Yes")-_xlfn.MINIFS($G$5:$G$60,$A$5:$A$60,$A55,$H$5:$H$60,"Yes"))),$G55/5))</f>
        <v/>
      </c>
      <c r="P55" s="20" t="str">
        <f aca="false">IF(OR($H55&lt;&gt;"Yes",$M55=""),"",IF(_xlfn.MAXIFS($M$5:$M$60,$A$5:$A$60,$A55,$H$5:$H$60,"Yes")=_xlfn.MINIFS($M$5:$M$60,$A$5:$A$60,$A55,$H$5:$H$60,"Yes"),1,($M55-_xlfn.MINIFS($M$5:$M$60,$A$5:$A$60,$A55,$H$5:$H$60,"Yes"))/(_xlfn.MAXIFS($M$5:$M$60,$A$5:$A$60,$A55,$H$5:$H$60,"Yes")-_xlfn.MINIFS($M$5:$M$60,$A$5:$A$60,$A55,$H$5:$H$60,"Yes"))))</f>
        <v/>
      </c>
      <c r="Q55" s="20" t="str">
        <f aca="false">IF(OR($H55&lt;&gt;"Yes",$J55=""),"",IF(_xlfn.MAXIFS($J$5:$J$60,$A$5:$A$60,$A55,$H$5:$H$60,"Yes")=_xlfn.MINIFS($J$5:$J$60,$A$5:$A$60,$A55,$H$5:$H$60,"Yes"),1,(_xlfn.MAXIFS($J$5:$J$60,$A$5:$A$60,$A55,$H$5:$H$60,"Yes")-$J55)/(_xlfn.MAXIFS($J$5:$J$60,$A$5:$A$60,$A55,$H$5:$H$60,"Yes")-_xlfn.MINIFS($J$5:$J$60,$A$5:$A$60,$A55,$H$5:$H$60,"Yes"))))</f>
        <v/>
      </c>
      <c r="R55" s="20" t="str">
        <f aca="false">IF($H55&lt;&gt;"Yes","",IFERROR(ROUND(100*(IF($N55="",0,Weights!$B$5*$N55)+IF($O55="",0,Weights!$B$6*$O55)+IF($P55="",0,Weights!$B$7*$P55)+IF($Q55="",0,Weights!$B$8*$Q55))/(IF($N55="",0,Weights!$B$5)+IF($O55="",0,Weights!$B$6)+IF($P55="",0,Weights!$B$7)+IF($Q55="",0,Weights!$B$8)),2),""))</f>
        <v/>
      </c>
      <c r="S55" s="18" t="str">
        <f aca="false">IF($R55="","",COUNTIFS($A$5:$A$60,$A55,$R$5:$R$60,"&gt;"&amp;$R55)+1)</f>
        <v/>
      </c>
      <c r="T55" s="18" t="str">
        <f aca="false">IF(OR($H55&lt;&gt;"Yes",$E55=""),"",COUNTIFS($A$5:$A$60,$A55,$H$5:$H$60,"Yes",$E$5:$E$60,"&lt;"&amp;$E55)+1)</f>
        <v/>
      </c>
      <c r="U55" s="22" t="str">
        <f aca="false">IF($S55="","",$A55&amp;"|"&amp;$S55)</f>
        <v/>
      </c>
      <c r="V55" s="22" t="str">
        <f aca="false">IF($T55="","",$A55&amp;"|"&amp;$T55)</f>
        <v/>
      </c>
      <c r="W55" s="22" t="str">
        <f aca="false">IF($B55="","",$B55&amp;"|"&amp;$D55)</f>
        <v/>
      </c>
    </row>
    <row r="56" customFormat="false" ht="15" hidden="false" customHeight="false" outlineLevel="0" collapsed="false">
      <c r="A56" s="17"/>
      <c r="B56" s="17"/>
      <c r="C56" s="17"/>
      <c r="D56" s="17"/>
      <c r="E56" s="23"/>
      <c r="F56" s="17"/>
      <c r="G56" s="24"/>
      <c r="H56" s="17"/>
      <c r="I56" s="25"/>
      <c r="J56" s="17"/>
      <c r="K56" s="17"/>
      <c r="L56" s="17"/>
      <c r="M56" s="18" t="str">
        <f aca="false">IF($F56="","",IF(ISNUMBER(SEARCH("no warranty",$F56)),0,IF(ISNUMBER(SEARCH("year",$F56)),12*VALUE(LEFT($F56,FIND(" ",$F56)-1)),IF(ISNUMBER(SEARCH("month",$F56)),VALUE(LEFT($F56,FIND(" ",$F56)-1)),""))))</f>
        <v/>
      </c>
      <c r="N56" s="20" t="str">
        <f aca="false">IF(OR($H56&lt;&gt;"Yes",$E56=""),"",IF(_xlfn.MAXIFS($E$5:$E$60,$A$5:$A$60,$A56,$H$5:$H$60,"Yes")=_xlfn.MINIFS($E$5:$E$60,$A$5:$A$60,$A56,$H$5:$H$60,"Yes"),1,(_xlfn.MAXIFS($E$5:$E$60,$A$5:$A$60,$A56,$H$5:$H$60,"Yes")-$E56)/(_xlfn.MAXIFS($E$5:$E$60,$A$5:$A$60,$A56,$H$5:$H$60,"Yes")-_xlfn.MINIFS($E$5:$E$60,$A$5:$A$60,$A56,$H$5:$H$60,"Yes"))))</f>
        <v/>
      </c>
      <c r="O56" s="20" t="str">
        <f aca="false">IF(OR($H56&lt;&gt;"Yes",$G56=""),"",IF(Weights!$B$10="Relative",IF(_xlfn.MAXIFS($G$5:$G$60,$A$5:$A$60,$A56,$H$5:$H$60,"Yes")=_xlfn.MINIFS($G$5:$G$60,$A$5:$A$60,$A56,$H$5:$H$60,"Yes"),1,($G56-_xlfn.MINIFS($G$5:$G$60,$A$5:$A$60,$A56,$H$5:$H$60,"Yes"))/(_xlfn.MAXIFS($G$5:$G$60,$A$5:$A$60,$A56,$H$5:$H$60,"Yes")-_xlfn.MINIFS($G$5:$G$60,$A$5:$A$60,$A56,$H$5:$H$60,"Yes"))),$G56/5))</f>
        <v/>
      </c>
      <c r="P56" s="20" t="str">
        <f aca="false">IF(OR($H56&lt;&gt;"Yes",$M56=""),"",IF(_xlfn.MAXIFS($M$5:$M$60,$A$5:$A$60,$A56,$H$5:$H$60,"Yes")=_xlfn.MINIFS($M$5:$M$60,$A$5:$A$60,$A56,$H$5:$H$60,"Yes"),1,($M56-_xlfn.MINIFS($M$5:$M$60,$A$5:$A$60,$A56,$H$5:$H$60,"Yes"))/(_xlfn.MAXIFS($M$5:$M$60,$A$5:$A$60,$A56,$H$5:$H$60,"Yes")-_xlfn.MINIFS($M$5:$M$60,$A$5:$A$60,$A56,$H$5:$H$60,"Yes"))))</f>
        <v/>
      </c>
      <c r="Q56" s="20" t="str">
        <f aca="false">IF(OR($H56&lt;&gt;"Yes",$J56=""),"",IF(_xlfn.MAXIFS($J$5:$J$60,$A$5:$A$60,$A56,$H$5:$H$60,"Yes")=_xlfn.MINIFS($J$5:$J$60,$A$5:$A$60,$A56,$H$5:$H$60,"Yes"),1,(_xlfn.MAXIFS($J$5:$J$60,$A$5:$A$60,$A56,$H$5:$H$60,"Yes")-$J56)/(_xlfn.MAXIFS($J$5:$J$60,$A$5:$A$60,$A56,$H$5:$H$60,"Yes")-_xlfn.MINIFS($J$5:$J$60,$A$5:$A$60,$A56,$H$5:$H$60,"Yes"))))</f>
        <v/>
      </c>
      <c r="R56" s="20" t="str">
        <f aca="false">IF($H56&lt;&gt;"Yes","",IFERROR(ROUND(100*(IF($N56="",0,Weights!$B$5*$N56)+IF($O56="",0,Weights!$B$6*$O56)+IF($P56="",0,Weights!$B$7*$P56)+IF($Q56="",0,Weights!$B$8*$Q56))/(IF($N56="",0,Weights!$B$5)+IF($O56="",0,Weights!$B$6)+IF($P56="",0,Weights!$B$7)+IF($Q56="",0,Weights!$B$8)),2),""))</f>
        <v/>
      </c>
      <c r="S56" s="18" t="str">
        <f aca="false">IF($R56="","",COUNTIFS($A$5:$A$60,$A56,$R$5:$R$60,"&gt;"&amp;$R56)+1)</f>
        <v/>
      </c>
      <c r="T56" s="18" t="str">
        <f aca="false">IF(OR($H56&lt;&gt;"Yes",$E56=""),"",COUNTIFS($A$5:$A$60,$A56,$H$5:$H$60,"Yes",$E$5:$E$60,"&lt;"&amp;$E56)+1)</f>
        <v/>
      </c>
      <c r="U56" s="22" t="str">
        <f aca="false">IF($S56="","",$A56&amp;"|"&amp;$S56)</f>
        <v/>
      </c>
      <c r="V56" s="22" t="str">
        <f aca="false">IF($T56="","",$A56&amp;"|"&amp;$T56)</f>
        <v/>
      </c>
      <c r="W56" s="22" t="str">
        <f aca="false">IF($B56="","",$B56&amp;"|"&amp;$D56)</f>
        <v/>
      </c>
    </row>
    <row r="57" customFormat="false" ht="15" hidden="false" customHeight="false" outlineLevel="0" collapsed="false">
      <c r="A57" s="17"/>
      <c r="B57" s="17"/>
      <c r="C57" s="17"/>
      <c r="D57" s="17"/>
      <c r="E57" s="23"/>
      <c r="F57" s="17"/>
      <c r="G57" s="24"/>
      <c r="H57" s="17"/>
      <c r="I57" s="25"/>
      <c r="J57" s="17"/>
      <c r="K57" s="17"/>
      <c r="L57" s="17"/>
      <c r="M57" s="18" t="str">
        <f aca="false">IF($F57="","",IF(ISNUMBER(SEARCH("no warranty",$F57)),0,IF(ISNUMBER(SEARCH("year",$F57)),12*VALUE(LEFT($F57,FIND(" ",$F57)-1)),IF(ISNUMBER(SEARCH("month",$F57)),VALUE(LEFT($F57,FIND(" ",$F57)-1)),""))))</f>
        <v/>
      </c>
      <c r="N57" s="20" t="str">
        <f aca="false">IF(OR($H57&lt;&gt;"Yes",$E57=""),"",IF(_xlfn.MAXIFS($E$5:$E$60,$A$5:$A$60,$A57,$H$5:$H$60,"Yes")=_xlfn.MINIFS($E$5:$E$60,$A$5:$A$60,$A57,$H$5:$H$60,"Yes"),1,(_xlfn.MAXIFS($E$5:$E$60,$A$5:$A$60,$A57,$H$5:$H$60,"Yes")-$E57)/(_xlfn.MAXIFS($E$5:$E$60,$A$5:$A$60,$A57,$H$5:$H$60,"Yes")-_xlfn.MINIFS($E$5:$E$60,$A$5:$A$60,$A57,$H$5:$H$60,"Yes"))))</f>
        <v/>
      </c>
      <c r="O57" s="20" t="str">
        <f aca="false">IF(OR($H57&lt;&gt;"Yes",$G57=""),"",IF(Weights!$B$10="Relative",IF(_xlfn.MAXIFS($G$5:$G$60,$A$5:$A$60,$A57,$H$5:$H$60,"Yes")=_xlfn.MINIFS($G$5:$G$60,$A$5:$A$60,$A57,$H$5:$H$60,"Yes"),1,($G57-_xlfn.MINIFS($G$5:$G$60,$A$5:$A$60,$A57,$H$5:$H$60,"Yes"))/(_xlfn.MAXIFS($G$5:$G$60,$A$5:$A$60,$A57,$H$5:$H$60,"Yes")-_xlfn.MINIFS($G$5:$G$60,$A$5:$A$60,$A57,$H$5:$H$60,"Yes"))),$G57/5))</f>
        <v/>
      </c>
      <c r="P57" s="20" t="str">
        <f aca="false">IF(OR($H57&lt;&gt;"Yes",$M57=""),"",IF(_xlfn.MAXIFS($M$5:$M$60,$A$5:$A$60,$A57,$H$5:$H$60,"Yes")=_xlfn.MINIFS($M$5:$M$60,$A$5:$A$60,$A57,$H$5:$H$60,"Yes"),1,($M57-_xlfn.MINIFS($M$5:$M$60,$A$5:$A$60,$A57,$H$5:$H$60,"Yes"))/(_xlfn.MAXIFS($M$5:$M$60,$A$5:$A$60,$A57,$H$5:$H$60,"Yes")-_xlfn.MINIFS($M$5:$M$60,$A$5:$A$60,$A57,$H$5:$H$60,"Yes"))))</f>
        <v/>
      </c>
      <c r="Q57" s="20" t="str">
        <f aca="false">IF(OR($H57&lt;&gt;"Yes",$J57=""),"",IF(_xlfn.MAXIFS($J$5:$J$60,$A$5:$A$60,$A57,$H$5:$H$60,"Yes")=_xlfn.MINIFS($J$5:$J$60,$A$5:$A$60,$A57,$H$5:$H$60,"Yes"),1,(_xlfn.MAXIFS($J$5:$J$60,$A$5:$A$60,$A57,$H$5:$H$60,"Yes")-$J57)/(_xlfn.MAXIFS($J$5:$J$60,$A$5:$A$60,$A57,$H$5:$H$60,"Yes")-_xlfn.MINIFS($J$5:$J$60,$A$5:$A$60,$A57,$H$5:$H$60,"Yes"))))</f>
        <v/>
      </c>
      <c r="R57" s="20" t="str">
        <f aca="false">IF($H57&lt;&gt;"Yes","",IFERROR(ROUND(100*(IF($N57="",0,Weights!$B$5*$N57)+IF($O57="",0,Weights!$B$6*$O57)+IF($P57="",0,Weights!$B$7*$P57)+IF($Q57="",0,Weights!$B$8*$Q57))/(IF($N57="",0,Weights!$B$5)+IF($O57="",0,Weights!$B$6)+IF($P57="",0,Weights!$B$7)+IF($Q57="",0,Weights!$B$8)),2),""))</f>
        <v/>
      </c>
      <c r="S57" s="18" t="str">
        <f aca="false">IF($R57="","",COUNTIFS($A$5:$A$60,$A57,$R$5:$R$60,"&gt;"&amp;$R57)+1)</f>
        <v/>
      </c>
      <c r="T57" s="18" t="str">
        <f aca="false">IF(OR($H57&lt;&gt;"Yes",$E57=""),"",COUNTIFS($A$5:$A$60,$A57,$H$5:$H$60,"Yes",$E$5:$E$60,"&lt;"&amp;$E57)+1)</f>
        <v/>
      </c>
      <c r="U57" s="22" t="str">
        <f aca="false">IF($S57="","",$A57&amp;"|"&amp;$S57)</f>
        <v/>
      </c>
      <c r="V57" s="22" t="str">
        <f aca="false">IF($T57="","",$A57&amp;"|"&amp;$T57)</f>
        <v/>
      </c>
      <c r="W57" s="22" t="str">
        <f aca="false">IF($B57="","",$B57&amp;"|"&amp;$D57)</f>
        <v/>
      </c>
    </row>
    <row r="58" customFormat="false" ht="15" hidden="false" customHeight="false" outlineLevel="0" collapsed="false">
      <c r="A58" s="17"/>
      <c r="B58" s="17"/>
      <c r="C58" s="17"/>
      <c r="D58" s="17"/>
      <c r="E58" s="23"/>
      <c r="F58" s="17"/>
      <c r="G58" s="24"/>
      <c r="H58" s="17"/>
      <c r="I58" s="25"/>
      <c r="J58" s="17"/>
      <c r="K58" s="17"/>
      <c r="L58" s="17"/>
      <c r="M58" s="18" t="str">
        <f aca="false">IF($F58="","",IF(ISNUMBER(SEARCH("no warranty",$F58)),0,IF(ISNUMBER(SEARCH("year",$F58)),12*VALUE(LEFT($F58,FIND(" ",$F58)-1)),IF(ISNUMBER(SEARCH("month",$F58)),VALUE(LEFT($F58,FIND(" ",$F58)-1)),""))))</f>
        <v/>
      </c>
      <c r="N58" s="20" t="str">
        <f aca="false">IF(OR($H58&lt;&gt;"Yes",$E58=""),"",IF(_xlfn.MAXIFS($E$5:$E$60,$A$5:$A$60,$A58,$H$5:$H$60,"Yes")=_xlfn.MINIFS($E$5:$E$60,$A$5:$A$60,$A58,$H$5:$H$60,"Yes"),1,(_xlfn.MAXIFS($E$5:$E$60,$A$5:$A$60,$A58,$H$5:$H$60,"Yes")-$E58)/(_xlfn.MAXIFS($E$5:$E$60,$A$5:$A$60,$A58,$H$5:$H$60,"Yes")-_xlfn.MINIFS($E$5:$E$60,$A$5:$A$60,$A58,$H$5:$H$60,"Yes"))))</f>
        <v/>
      </c>
      <c r="O58" s="20" t="str">
        <f aca="false">IF(OR($H58&lt;&gt;"Yes",$G58=""),"",IF(Weights!$B$10="Relative",IF(_xlfn.MAXIFS($G$5:$G$60,$A$5:$A$60,$A58,$H$5:$H$60,"Yes")=_xlfn.MINIFS($G$5:$G$60,$A$5:$A$60,$A58,$H$5:$H$60,"Yes"),1,($G58-_xlfn.MINIFS($G$5:$G$60,$A$5:$A$60,$A58,$H$5:$H$60,"Yes"))/(_xlfn.MAXIFS($G$5:$G$60,$A$5:$A$60,$A58,$H$5:$H$60,"Yes")-_xlfn.MINIFS($G$5:$G$60,$A$5:$A$60,$A58,$H$5:$H$60,"Yes"))),$G58/5))</f>
        <v/>
      </c>
      <c r="P58" s="20" t="str">
        <f aca="false">IF(OR($H58&lt;&gt;"Yes",$M58=""),"",IF(_xlfn.MAXIFS($M$5:$M$60,$A$5:$A$60,$A58,$H$5:$H$60,"Yes")=_xlfn.MINIFS($M$5:$M$60,$A$5:$A$60,$A58,$H$5:$H$60,"Yes"),1,($M58-_xlfn.MINIFS($M$5:$M$60,$A$5:$A$60,$A58,$H$5:$H$60,"Yes"))/(_xlfn.MAXIFS($M$5:$M$60,$A$5:$A$60,$A58,$H$5:$H$60,"Yes")-_xlfn.MINIFS($M$5:$M$60,$A$5:$A$60,$A58,$H$5:$H$60,"Yes"))))</f>
        <v/>
      </c>
      <c r="Q58" s="20" t="str">
        <f aca="false">IF(OR($H58&lt;&gt;"Yes",$J58=""),"",IF(_xlfn.MAXIFS($J$5:$J$60,$A$5:$A$60,$A58,$H$5:$H$60,"Yes")=_xlfn.MINIFS($J$5:$J$60,$A$5:$A$60,$A58,$H$5:$H$60,"Yes"),1,(_xlfn.MAXIFS($J$5:$J$60,$A$5:$A$60,$A58,$H$5:$H$60,"Yes")-$J58)/(_xlfn.MAXIFS($J$5:$J$60,$A$5:$A$60,$A58,$H$5:$H$60,"Yes")-_xlfn.MINIFS($J$5:$J$60,$A$5:$A$60,$A58,$H$5:$H$60,"Yes"))))</f>
        <v/>
      </c>
      <c r="R58" s="20" t="str">
        <f aca="false">IF($H58&lt;&gt;"Yes","",IFERROR(ROUND(100*(IF($N58="",0,Weights!$B$5*$N58)+IF($O58="",0,Weights!$B$6*$O58)+IF($P58="",0,Weights!$B$7*$P58)+IF($Q58="",0,Weights!$B$8*$Q58))/(IF($N58="",0,Weights!$B$5)+IF($O58="",0,Weights!$B$6)+IF($P58="",0,Weights!$B$7)+IF($Q58="",0,Weights!$B$8)),2),""))</f>
        <v/>
      </c>
      <c r="S58" s="18" t="str">
        <f aca="false">IF($R58="","",COUNTIFS($A$5:$A$60,$A58,$R$5:$R$60,"&gt;"&amp;$R58)+1)</f>
        <v/>
      </c>
      <c r="T58" s="18" t="str">
        <f aca="false">IF(OR($H58&lt;&gt;"Yes",$E58=""),"",COUNTIFS($A$5:$A$60,$A58,$H$5:$H$60,"Yes",$E$5:$E$60,"&lt;"&amp;$E58)+1)</f>
        <v/>
      </c>
      <c r="U58" s="22" t="str">
        <f aca="false">IF($S58="","",$A58&amp;"|"&amp;$S58)</f>
        <v/>
      </c>
      <c r="V58" s="22" t="str">
        <f aca="false">IF($T58="","",$A58&amp;"|"&amp;$T58)</f>
        <v/>
      </c>
      <c r="W58" s="22" t="str">
        <f aca="false">IF($B58="","",$B58&amp;"|"&amp;$D58)</f>
        <v/>
      </c>
    </row>
    <row r="59" customFormat="false" ht="15" hidden="false" customHeight="false" outlineLevel="0" collapsed="false">
      <c r="A59" s="17"/>
      <c r="B59" s="17"/>
      <c r="C59" s="17"/>
      <c r="D59" s="17"/>
      <c r="E59" s="23"/>
      <c r="F59" s="17"/>
      <c r="G59" s="24"/>
      <c r="H59" s="17"/>
      <c r="I59" s="25"/>
      <c r="J59" s="17"/>
      <c r="K59" s="17"/>
      <c r="L59" s="17"/>
      <c r="M59" s="18" t="str">
        <f aca="false">IF($F59="","",IF(ISNUMBER(SEARCH("no warranty",$F59)),0,IF(ISNUMBER(SEARCH("year",$F59)),12*VALUE(LEFT($F59,FIND(" ",$F59)-1)),IF(ISNUMBER(SEARCH("month",$F59)),VALUE(LEFT($F59,FIND(" ",$F59)-1)),""))))</f>
        <v/>
      </c>
      <c r="N59" s="20" t="str">
        <f aca="false">IF(OR($H59&lt;&gt;"Yes",$E59=""),"",IF(_xlfn.MAXIFS($E$5:$E$60,$A$5:$A$60,$A59,$H$5:$H$60,"Yes")=_xlfn.MINIFS($E$5:$E$60,$A$5:$A$60,$A59,$H$5:$H$60,"Yes"),1,(_xlfn.MAXIFS($E$5:$E$60,$A$5:$A$60,$A59,$H$5:$H$60,"Yes")-$E59)/(_xlfn.MAXIFS($E$5:$E$60,$A$5:$A$60,$A59,$H$5:$H$60,"Yes")-_xlfn.MINIFS($E$5:$E$60,$A$5:$A$60,$A59,$H$5:$H$60,"Yes"))))</f>
        <v/>
      </c>
      <c r="O59" s="20" t="str">
        <f aca="false">IF(OR($H59&lt;&gt;"Yes",$G59=""),"",IF(Weights!$B$10="Relative",IF(_xlfn.MAXIFS($G$5:$G$60,$A$5:$A$60,$A59,$H$5:$H$60,"Yes")=_xlfn.MINIFS($G$5:$G$60,$A$5:$A$60,$A59,$H$5:$H$60,"Yes"),1,($G59-_xlfn.MINIFS($G$5:$G$60,$A$5:$A$60,$A59,$H$5:$H$60,"Yes"))/(_xlfn.MAXIFS($G$5:$G$60,$A$5:$A$60,$A59,$H$5:$H$60,"Yes")-_xlfn.MINIFS($G$5:$G$60,$A$5:$A$60,$A59,$H$5:$H$60,"Yes"))),$G59/5))</f>
        <v/>
      </c>
      <c r="P59" s="20" t="str">
        <f aca="false">IF(OR($H59&lt;&gt;"Yes",$M59=""),"",IF(_xlfn.MAXIFS($M$5:$M$60,$A$5:$A$60,$A59,$H$5:$H$60,"Yes")=_xlfn.MINIFS($M$5:$M$60,$A$5:$A$60,$A59,$H$5:$H$60,"Yes"),1,($M59-_xlfn.MINIFS($M$5:$M$60,$A$5:$A$60,$A59,$H$5:$H$60,"Yes"))/(_xlfn.MAXIFS($M$5:$M$60,$A$5:$A$60,$A59,$H$5:$H$60,"Yes")-_xlfn.MINIFS($M$5:$M$60,$A$5:$A$60,$A59,$H$5:$H$60,"Yes"))))</f>
        <v/>
      </c>
      <c r="Q59" s="20" t="str">
        <f aca="false">IF(OR($H59&lt;&gt;"Yes",$J59=""),"",IF(_xlfn.MAXIFS($J$5:$J$60,$A$5:$A$60,$A59,$H$5:$H$60,"Yes")=_xlfn.MINIFS($J$5:$J$60,$A$5:$A$60,$A59,$H$5:$H$60,"Yes"),1,(_xlfn.MAXIFS($J$5:$J$60,$A$5:$A$60,$A59,$H$5:$H$60,"Yes")-$J59)/(_xlfn.MAXIFS($J$5:$J$60,$A$5:$A$60,$A59,$H$5:$H$60,"Yes")-_xlfn.MINIFS($J$5:$J$60,$A$5:$A$60,$A59,$H$5:$H$60,"Yes"))))</f>
        <v/>
      </c>
      <c r="R59" s="20" t="str">
        <f aca="false">IF($H59&lt;&gt;"Yes","",IFERROR(ROUND(100*(IF($N59="",0,Weights!$B$5*$N59)+IF($O59="",0,Weights!$B$6*$O59)+IF($P59="",0,Weights!$B$7*$P59)+IF($Q59="",0,Weights!$B$8*$Q59))/(IF($N59="",0,Weights!$B$5)+IF($O59="",0,Weights!$B$6)+IF($P59="",0,Weights!$B$7)+IF($Q59="",0,Weights!$B$8)),2),""))</f>
        <v/>
      </c>
      <c r="S59" s="18" t="str">
        <f aca="false">IF($R59="","",COUNTIFS($A$5:$A$60,$A59,$R$5:$R$60,"&gt;"&amp;$R59)+1)</f>
        <v/>
      </c>
      <c r="T59" s="18" t="str">
        <f aca="false">IF(OR($H59&lt;&gt;"Yes",$E59=""),"",COUNTIFS($A$5:$A$60,$A59,$H$5:$H$60,"Yes",$E$5:$E$60,"&lt;"&amp;$E59)+1)</f>
        <v/>
      </c>
      <c r="U59" s="22" t="str">
        <f aca="false">IF($S59="","",$A59&amp;"|"&amp;$S59)</f>
        <v/>
      </c>
      <c r="V59" s="22" t="str">
        <f aca="false">IF($T59="","",$A59&amp;"|"&amp;$T59)</f>
        <v/>
      </c>
      <c r="W59" s="22" t="str">
        <f aca="false">IF($B59="","",$B59&amp;"|"&amp;$D59)</f>
        <v/>
      </c>
    </row>
    <row r="60" customFormat="false" ht="15" hidden="false" customHeight="false" outlineLevel="0" collapsed="false">
      <c r="A60" s="17"/>
      <c r="B60" s="17"/>
      <c r="C60" s="17"/>
      <c r="D60" s="17"/>
      <c r="E60" s="23"/>
      <c r="F60" s="17"/>
      <c r="G60" s="24"/>
      <c r="H60" s="17"/>
      <c r="I60" s="25"/>
      <c r="J60" s="17"/>
      <c r="K60" s="17"/>
      <c r="L60" s="17"/>
      <c r="M60" s="18" t="str">
        <f aca="false">IF($F60="","",IF(ISNUMBER(SEARCH("no warranty",$F60)),0,IF(ISNUMBER(SEARCH("year",$F60)),12*VALUE(LEFT($F60,FIND(" ",$F60)-1)),IF(ISNUMBER(SEARCH("month",$F60)),VALUE(LEFT($F60,FIND(" ",$F60)-1)),""))))</f>
        <v/>
      </c>
      <c r="N60" s="20" t="str">
        <f aca="false">IF(OR($H60&lt;&gt;"Yes",$E60=""),"",IF(_xlfn.MAXIFS($E$5:$E$60,$A$5:$A$60,$A60,$H$5:$H$60,"Yes")=_xlfn.MINIFS($E$5:$E$60,$A$5:$A$60,$A60,$H$5:$H$60,"Yes"),1,(_xlfn.MAXIFS($E$5:$E$60,$A$5:$A$60,$A60,$H$5:$H$60,"Yes")-$E60)/(_xlfn.MAXIFS($E$5:$E$60,$A$5:$A$60,$A60,$H$5:$H$60,"Yes")-_xlfn.MINIFS($E$5:$E$60,$A$5:$A$60,$A60,$H$5:$H$60,"Yes"))))</f>
        <v/>
      </c>
      <c r="O60" s="20" t="str">
        <f aca="false">IF(OR($H60&lt;&gt;"Yes",$G60=""),"",IF(Weights!$B$10="Relative",IF(_xlfn.MAXIFS($G$5:$G$60,$A$5:$A$60,$A60,$H$5:$H$60,"Yes")=_xlfn.MINIFS($G$5:$G$60,$A$5:$A$60,$A60,$H$5:$H$60,"Yes"),1,($G60-_xlfn.MINIFS($G$5:$G$60,$A$5:$A$60,$A60,$H$5:$H$60,"Yes"))/(_xlfn.MAXIFS($G$5:$G$60,$A$5:$A$60,$A60,$H$5:$H$60,"Yes")-_xlfn.MINIFS($G$5:$G$60,$A$5:$A$60,$A60,$H$5:$H$60,"Yes"))),$G60/5))</f>
        <v/>
      </c>
      <c r="P60" s="20" t="str">
        <f aca="false">IF(OR($H60&lt;&gt;"Yes",$M60=""),"",IF(_xlfn.MAXIFS($M$5:$M$60,$A$5:$A$60,$A60,$H$5:$H$60,"Yes")=_xlfn.MINIFS($M$5:$M$60,$A$5:$A$60,$A60,$H$5:$H$60,"Yes"),1,($M60-_xlfn.MINIFS($M$5:$M$60,$A$5:$A$60,$A60,$H$5:$H$60,"Yes"))/(_xlfn.MAXIFS($M$5:$M$60,$A$5:$A$60,$A60,$H$5:$H$60,"Yes")-_xlfn.MINIFS($M$5:$M$60,$A$5:$A$60,$A60,$H$5:$H$60,"Yes"))))</f>
        <v/>
      </c>
      <c r="Q60" s="20" t="str">
        <f aca="false">IF(OR($H60&lt;&gt;"Yes",$J60=""),"",IF(_xlfn.MAXIFS($J$5:$J$60,$A$5:$A$60,$A60,$H$5:$H$60,"Yes")=_xlfn.MINIFS($J$5:$J$60,$A$5:$A$60,$A60,$H$5:$H$60,"Yes"),1,(_xlfn.MAXIFS($J$5:$J$60,$A$5:$A$60,$A60,$H$5:$H$60,"Yes")-$J60)/(_xlfn.MAXIFS($J$5:$J$60,$A$5:$A$60,$A60,$H$5:$H$60,"Yes")-_xlfn.MINIFS($J$5:$J$60,$A$5:$A$60,$A60,$H$5:$H$60,"Yes"))))</f>
        <v/>
      </c>
      <c r="R60" s="20" t="str">
        <f aca="false">IF($H60&lt;&gt;"Yes","",IFERROR(ROUND(100*(IF($N60="",0,Weights!$B$5*$N60)+IF($O60="",0,Weights!$B$6*$O60)+IF($P60="",0,Weights!$B$7*$P60)+IF($Q60="",0,Weights!$B$8*$Q60))/(IF($N60="",0,Weights!$B$5)+IF($O60="",0,Weights!$B$6)+IF($P60="",0,Weights!$B$7)+IF($Q60="",0,Weights!$B$8)),2),""))</f>
        <v/>
      </c>
      <c r="S60" s="18" t="str">
        <f aca="false">IF($R60="","",COUNTIFS($A$5:$A$60,$A60,$R$5:$R$60,"&gt;"&amp;$R60)+1)</f>
        <v/>
      </c>
      <c r="T60" s="18" t="str">
        <f aca="false">IF(OR($H60&lt;&gt;"Yes",$E60=""),"",COUNTIFS($A$5:$A$60,$A60,$H$5:$H$60,"Yes",$E$5:$E$60,"&lt;"&amp;$E60)+1)</f>
        <v/>
      </c>
      <c r="U60" s="22" t="str">
        <f aca="false">IF($S60="","",$A60&amp;"|"&amp;$S60)</f>
        <v/>
      </c>
      <c r="V60" s="22" t="str">
        <f aca="false">IF($T60="","",$A60&amp;"|"&amp;$T60)</f>
        <v/>
      </c>
      <c r="W60" s="22" t="str">
        <f aca="false">IF($B60="","",$B60&amp;"|"&amp;$D60)</f>
        <v/>
      </c>
    </row>
  </sheetData>
  <conditionalFormatting sqref="A5:L60">
    <cfRule type="expression" priority="2" aboveAverage="0" equalAverage="0" bottom="0" percent="0" rank="0" text="" dxfId="0">
      <formula>$S5=1</formula>
    </cfRule>
  </conditionalFormatting>
  <dataValidations count="2">
    <dataValidation allowBlank="true" errorStyle="stop" operator="between" showDropDown="false" showErrorMessage="false" showInputMessage="false" sqref="H5:H60" type="list">
      <formula1>"Yes,No"</formula1>
      <formula2>0</formula2>
    </dataValidation>
    <dataValidation allowBlank="true" error="Enter a rating between 0 and 5." errorStyle="stop" errorTitle="Rating" operator="between" showDropDown="false" showErrorMessage="false" showInputMessage="false" sqref="G5:G60" type="decimal">
      <formula1>0</formula1>
      <formula2>5</formula2>
    </dataValidation>
  </dataValidations>
  <hyperlinks>
    <hyperlink ref="K5" r:id="rId1" display="Open"/>
    <hyperlink ref="L5" r:id="rId2" display="Image"/>
    <hyperlink ref="K6" r:id="rId3" display="Open"/>
    <hyperlink ref="L6" r:id="rId4" display="Image"/>
    <hyperlink ref="K7" r:id="rId5" display="Open"/>
    <hyperlink ref="L7" r:id="rId6" display="Image"/>
    <hyperlink ref="K8" r:id="rId7" display="Open"/>
    <hyperlink ref="L8" r:id="rId8" display="Image"/>
    <hyperlink ref="K9" r:id="rId9" display="Open"/>
    <hyperlink ref="L9" r:id="rId10" display="Image"/>
    <hyperlink ref="K10" r:id="rId11" display="Open"/>
    <hyperlink ref="L10" r:id="rId12" display="Image"/>
    <hyperlink ref="K11" r:id="rId13" display="Open"/>
    <hyperlink ref="L11" r:id="rId14" display="Image"/>
    <hyperlink ref="K12" r:id="rId15" display="Open"/>
    <hyperlink ref="L12" r:id="rId16" display="Image"/>
    <hyperlink ref="K13" r:id="rId17" display="Open"/>
    <hyperlink ref="L13" r:id="rId18" display="Image"/>
    <hyperlink ref="K14" r:id="rId19" display="Open"/>
    <hyperlink ref="L14" r:id="rId20" display="Image"/>
    <hyperlink ref="K15" r:id="rId21" display="Open"/>
    <hyperlink ref="K16" r:id="rId22" display="Open"/>
    <hyperlink ref="L16" r:id="rId23" display="Image"/>
    <hyperlink ref="K17" r:id="rId24" display="Open"/>
    <hyperlink ref="L17" r:id="rId25" display="Image"/>
    <hyperlink ref="K18" r:id="rId26" display="Open"/>
    <hyperlink ref="L18" r:id="rId27" display="Image"/>
    <hyperlink ref="K19" r:id="rId28" display="Open"/>
    <hyperlink ref="L19" r:id="rId29" display="Image"/>
    <hyperlink ref="K20" r:id="rId30" display="Open"/>
    <hyperlink ref="L20" r:id="rId31" display="Image"/>
    <hyperlink ref="K21" r:id="rId32" display="Open"/>
    <hyperlink ref="L21" r:id="rId33" display="Image"/>
    <hyperlink ref="L22" r:id="rId34" display="Image"/>
    <hyperlink ref="L23" r:id="rId35" display="Image"/>
    <hyperlink ref="L24" r:id="rId36" display="Image"/>
    <hyperlink ref="L25" r:id="rId37" display="Image"/>
    <hyperlink ref="K26" r:id="rId38" display="Open"/>
    <hyperlink ref="L26" r:id="rId39" display="Image"/>
    <hyperlink ref="K27" r:id="rId40" display="Open"/>
    <hyperlink ref="L27" r:id="rId41" display="Image"/>
    <hyperlink ref="L28" r:id="rId42" display="Image"/>
    <hyperlink ref="L29" r:id="rId43" display="Image"/>
    <hyperlink ref="L30" r:id="rId44" display="Image"/>
    <hyperlink ref="L31" r:id="rId45" display="Image"/>
    <hyperlink ref="K32" r:id="rId46" display="Open"/>
    <hyperlink ref="L32" r:id="rId47" display="Image"/>
    <hyperlink ref="K33" r:id="rId48" display="Open"/>
    <hyperlink ref="L33" r:id="rId49" display="Image"/>
    <hyperlink ref="K34" r:id="rId50" display="Open"/>
    <hyperlink ref="L34" r:id="rId51" display="Image"/>
    <hyperlink ref="K35" r:id="rId52" display="Open"/>
    <hyperlink ref="L35" r:id="rId53" display="Image"/>
    <hyperlink ref="K36" r:id="rId54" display="Open"/>
    <hyperlink ref="L36" r:id="rId55" display="Image"/>
    <hyperlink ref="L37" r:id="rId56" display="Image"/>
    <hyperlink ref="K38" r:id="rId57" display="Open"/>
    <hyperlink ref="L38" r:id="rId58" display="Image"/>
    <hyperlink ref="K39" r:id="rId59" display="Open"/>
    <hyperlink ref="L39" r:id="rId60" display="Image"/>
    <hyperlink ref="L40" r:id="rId61" display="Image"/>
    <hyperlink ref="K41" r:id="rId62" display="Open"/>
    <hyperlink ref="L41" r:id="rId63" display="Image"/>
    <hyperlink ref="K42" r:id="rId64" display="Open"/>
    <hyperlink ref="L42" r:id="rId65" display="Image"/>
    <hyperlink ref="K43" r:id="rId66" display="Open"/>
    <hyperlink ref="L43" r:id="rId67" display="Image"/>
    <hyperlink ref="L44" r:id="rId68" display="Image"/>
    <hyperlink ref="L45" r:id="rId69" display="Image"/>
    <hyperlink ref="L46" r:id="rId70" display="Image"/>
    <hyperlink ref="K47" r:id="rId71" display="Open"/>
    <hyperlink ref="L47" r:id="rId72" display="Image"/>
    <hyperlink ref="K48" r:id="rId73" display="Open"/>
    <hyperlink ref="L48" r:id="rId74" display="Image"/>
    <hyperlink ref="K49" r:id="rId75" display="Open"/>
    <hyperlink ref="L49" r:id="rId76" display="Imag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81</v>
      </c>
    </row>
    <row r="2" customFormat="false" ht="15" hidden="false" customHeight="false" outlineLevel="0" collapsed="false">
      <c r="A2" s="5" t="s">
        <v>82</v>
      </c>
    </row>
    <row r="4" customFormat="false" ht="31.5" hidden="false" customHeight="true" outlineLevel="0" collapsed="false">
      <c r="A4" s="6" t="s">
        <v>30</v>
      </c>
      <c r="B4" s="6" t="s">
        <v>83</v>
      </c>
      <c r="C4" s="6" t="s">
        <v>84</v>
      </c>
      <c r="D4" s="6" t="s">
        <v>85</v>
      </c>
      <c r="E4" s="6" t="s">
        <v>86</v>
      </c>
    </row>
    <row r="5" customFormat="false" ht="15" hidden="false" customHeight="false" outlineLevel="0" collapsed="false">
      <c r="A5" s="17" t="s">
        <v>51</v>
      </c>
      <c r="B5" s="18" t="n">
        <f aca="false">COUNTIF(Overview!$C$5:$C$19,$A5)</f>
        <v>3</v>
      </c>
      <c r="C5" s="19" t="n">
        <f aca="false">IF(COUNTIFS(Overview!$C$5:$C$19,$A5,Overview!$E$5:$E$19,"&gt;0")=0,"",_xlfn.MINIFS(Overview!$E$5:$E$19,Overview!$C$5:$C$19,$A5))</f>
        <v>94</v>
      </c>
      <c r="D5" s="18" t="str">
        <f aca="false">IF($C5="","",INDEX(Overview!$B$5:$B$19,MATCH($A5&amp;"|"&amp;$C5,Overview!$L$5:$L$19,0)))</f>
        <v>Wired In-Ear Earphones with Mic</v>
      </c>
      <c r="E5" s="19" t="n">
        <f aca="false">IFERROR(AVERAGEIFS(Overview!$E$5:$E$19,Overview!$C$5:$C$19,$A5),"")</f>
        <v>351.333333333333</v>
      </c>
    </row>
    <row r="6" customFormat="false" ht="15" hidden="false" customHeight="false" outlineLevel="0" collapsed="false">
      <c r="A6" s="17" t="s">
        <v>62</v>
      </c>
      <c r="B6" s="18" t="n">
        <f aca="false">COUNTIF(Overview!$C$5:$C$19,$A6)</f>
        <v>5</v>
      </c>
      <c r="C6" s="19" t="n">
        <f aca="false">IF(COUNTIFS(Overview!$C$5:$C$19,$A6,Overview!$E$5:$E$19,"&gt;0")=0,"",_xlfn.MINIFS(Overview!$E$5:$E$19,Overview!$C$5:$C$19,$A6))</f>
        <v>247</v>
      </c>
      <c r="D6" s="18" t="str">
        <f aca="false">IF($C6="","",INDEX(Overview!$B$5:$B$19,MATCH($A6&amp;"|"&amp;$C6,Overview!$L$5:$L$19,0)))</f>
        <v>Girls Cotton Party Frock</v>
      </c>
      <c r="E6" s="19" t="n">
        <f aca="false">IFERROR(AVERAGEIFS(Overview!$E$5:$E$19,Overview!$C$5:$C$19,$A6),"")</f>
        <v>410.2</v>
      </c>
    </row>
    <row r="7" customFormat="false" ht="15" hidden="false" customHeight="false" outlineLevel="0" collapsed="false">
      <c r="A7" s="17" t="s">
        <v>69</v>
      </c>
      <c r="B7" s="18" t="n">
        <f aca="false">COUNTIF(Overview!$C$5:$C$19,$A7)</f>
        <v>2</v>
      </c>
      <c r="C7" s="19" t="n">
        <f aca="false">IF(COUNTIFS(Overview!$C$5:$C$19,$A7,Overview!$E$5:$E$19,"&gt;0")=0,"",_xlfn.MINIFS(Overview!$E$5:$E$19,Overview!$C$5:$C$19,$A7))</f>
        <v>150</v>
      </c>
      <c r="D7" s="18" t="str">
        <f aca="false">IF($C7="","",INDEX(Overview!$B$5:$B$19,MATCH($A7&amp;"|"&amp;$C7,Overview!$L$5:$L$19,0)))</f>
        <v>Women's Flat Sandals</v>
      </c>
      <c r="E7" s="19" t="n">
        <f aca="false">IFERROR(AVERAGEIFS(Overview!$E$5:$E$19,Overview!$C$5:$C$19,$A7),"")</f>
        <v>199.5</v>
      </c>
    </row>
    <row r="8" customFormat="false" ht="15" hidden="false" customHeight="false" outlineLevel="0" collapsed="false">
      <c r="A8" s="17" t="s">
        <v>72</v>
      </c>
      <c r="B8" s="18" t="n">
        <f aca="false">COUNTIF(Overview!$C$5:$C$19,$A8)</f>
        <v>2</v>
      </c>
      <c r="C8" s="19" t="n">
        <f aca="false">IF(COUNTIFS(Overview!$C$5:$C$19,$A8,Overview!$E$5:$E$19,"&gt;0")=0,"",_xlfn.MINIFS(Overview!$E$5:$E$19,Overview!$C$5:$C$19,$A8))</f>
        <v>260</v>
      </c>
      <c r="D8" s="18" t="str">
        <f aca="false">IF($C8="","",INDEX(Overview!$B$5:$B$19,MATCH($A8&amp;"|"&amp;$C8,Overview!$L$5:$L$19,0)))</f>
        <v>Men's Digital Sports Watch</v>
      </c>
      <c r="E8" s="19" t="n">
        <f aca="false">IFERROR(AVERAGEIFS(Overview!$E$5:$E$19,Overview!$C$5:$C$19,$A8),"")</f>
        <v>1127.5</v>
      </c>
    </row>
    <row r="9" customFormat="false" ht="15" hidden="false" customHeight="false" outlineLevel="0" collapsed="false">
      <c r="A9" s="17" t="s">
        <v>76</v>
      </c>
      <c r="B9" s="18" t="n">
        <f aca="false">COUNTIF(Overview!$C$5:$C$19,$A9)</f>
        <v>1</v>
      </c>
      <c r="C9" s="19" t="n">
        <f aca="false">IF(COUNTIFS(Overview!$C$5:$C$19,$A9,Overview!$E$5:$E$19,"&gt;0")=0,"",_xlfn.MINIFS(Overview!$E$5:$E$19,Overview!$C$5:$C$19,$A9))</f>
        <v>143</v>
      </c>
      <c r="D9" s="18" t="str">
        <f aca="false">IF($C9="","",INDEX(Overview!$B$5:$B$19,MATCH($A9&amp;"|"&amp;$C9,Overview!$L$5:$L$19,0)))</f>
        <v>Women's Sling Bag</v>
      </c>
      <c r="E9" s="19" t="n">
        <f aca="false">IFERROR(AVERAGEIFS(Overview!$E$5:$E$19,Overview!$C$5:$C$19,$A9),"")</f>
        <v>143</v>
      </c>
    </row>
    <row r="10" customFormat="false" ht="15" hidden="false" customHeight="false" outlineLevel="0" collapsed="false">
      <c r="A10" s="17" t="s">
        <v>78</v>
      </c>
      <c r="B10" s="18" t="n">
        <f aca="false">COUNTIF(Overview!$C$5:$C$19,$A10)</f>
        <v>1</v>
      </c>
      <c r="C10" s="19" t="n">
        <f aca="false">IF(COUNTIFS(Overview!$C$5:$C$19,$A10,Overview!$E$5:$E$19,"&gt;0")=0,"",_xlfn.MINIFS(Overview!$E$5:$E$19,Overview!$C$5:$C$19,$A10))</f>
        <v>200</v>
      </c>
      <c r="D10" s="18" t="str">
        <f aca="false">IF($C10="","",INDEX(Overview!$B$5:$B$19,MATCH($A10&amp;"|"&amp;$C10,Overview!$L$5:$L$19,0)))</f>
        <v>Home Decor Item</v>
      </c>
      <c r="E10" s="19" t="n">
        <f aca="false">IFERROR(AVERAGEIFS(Overview!$E$5:$E$19,Overview!$C$5:$C$19,$A10),"")</f>
        <v>200</v>
      </c>
    </row>
    <row r="11" customFormat="false" ht="15" hidden="false" customHeight="false" outlineLevel="0" collapsed="false">
      <c r="A11" s="17" t="s">
        <v>80</v>
      </c>
      <c r="B11" s="18" t="n">
        <f aca="false">COUNTIF(Overview!$C$5:$C$19,$A11)</f>
        <v>1</v>
      </c>
      <c r="C11" s="19" t="n">
        <f aca="false">IF(COUNTIFS(Overview!$C$5:$C$19,$A11,Overview!$E$5:$E$19,"&gt;0")=0,"",_xlfn.MINIFS(Overview!$E$5:$E$19,Overview!$C$5:$C$19,$A11))</f>
        <v>700</v>
      </c>
      <c r="D11" s="18" t="str">
        <f aca="false">IF($C11="","",INDEX(Overview!$B$5:$B$19,MATCH($A11&amp;"|"&amp;$C11,Overview!$L$5:$L$19,0)))</f>
        <v>Kids Cycle</v>
      </c>
      <c r="E11" s="19" t="n">
        <f aca="false">IFERROR(AVERAGEIFS(Overview!$E$5:$E$19,Overview!$C$5:$C$19,$A11),"")</f>
        <v>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87</v>
      </c>
    </row>
    <row r="2" customFormat="false" ht="15" hidden="false" customHeight="false" outlineLevel="0" collapsed="false">
      <c r="A2" s="5" t="s">
        <v>88</v>
      </c>
    </row>
    <row r="4" customFormat="false" ht="31.5" hidden="false" customHeight="true" outlineLevel="0" collapsed="false">
      <c r="A4" s="6" t="s">
        <v>89</v>
      </c>
      <c r="B4" s="6" t="s">
        <v>90</v>
      </c>
      <c r="C4" s="6" t="s">
        <v>91</v>
      </c>
    </row>
    <row r="5" customFormat="false" ht="15" hidden="false" customHeight="false" outlineLevel="0" collapsed="false">
      <c r="A5" s="27" t="s">
        <v>92</v>
      </c>
      <c r="B5" s="28" t="n">
        <v>0.5</v>
      </c>
      <c r="C5" s="18" t="s">
        <v>93</v>
      </c>
    </row>
    <row r="6" customFormat="false" ht="15" hidden="false" customHeight="false" outlineLevel="0" collapsed="false">
      <c r="A6" s="27" t="s">
        <v>94</v>
      </c>
      <c r="B6" s="28" t="n">
        <v>0.3</v>
      </c>
      <c r="C6" s="18" t="s">
        <v>95</v>
      </c>
    </row>
    <row r="7" customFormat="false" ht="15" hidden="false" customHeight="false" outlineLevel="0" collapsed="false">
      <c r="A7" s="27" t="s">
        <v>96</v>
      </c>
      <c r="B7" s="28" t="n">
        <v>0.2</v>
      </c>
      <c r="C7" s="18" t="s">
        <v>97</v>
      </c>
    </row>
    <row r="8" customFormat="false" ht="15" hidden="false" customHeight="false" outlineLevel="0" collapsed="false">
      <c r="A8" s="27" t="s">
        <v>98</v>
      </c>
      <c r="B8" s="28" t="n">
        <v>0</v>
      </c>
      <c r="C8" s="18" t="s">
        <v>99</v>
      </c>
    </row>
    <row r="9" customFormat="false" ht="15" hidden="false" customHeight="false" outlineLevel="0" collapsed="false">
      <c r="A9" s="13" t="s">
        <v>100</v>
      </c>
      <c r="B9" s="29" t="n">
        <f aca="false">SUM(B5:B8)</f>
        <v>1</v>
      </c>
      <c r="C9" s="15" t="str">
        <f aca="false">IF(ROUND(B9,4)=1,"OK: weights add up to 100%","Note: weights do not add up to 100% (scores are still re-scaled)")</f>
        <v>OK: weights add up to 100%</v>
      </c>
    </row>
    <row r="10" customFormat="false" ht="15" hidden="false" customHeight="false" outlineLevel="0" collapsed="false">
      <c r="A10" s="13" t="s">
        <v>101</v>
      </c>
      <c r="B10" s="30" t="s">
        <v>102</v>
      </c>
      <c r="C10" s="15" t="s">
        <v>103</v>
      </c>
    </row>
    <row r="12" customFormat="false" ht="15" hidden="false" customHeight="false" outlineLevel="0" collapsed="false">
      <c r="A12" s="13" t="s">
        <v>104</v>
      </c>
    </row>
    <row r="13" customFormat="false" ht="15" hidden="false" customHeight="false" outlineLevel="0" collapsed="false">
      <c r="A13" s="15" t="s">
        <v>105</v>
      </c>
    </row>
    <row r="14" customFormat="false" ht="15" hidden="false" customHeight="false" outlineLevel="0" collapsed="false">
      <c r="A14" s="15" t="s">
        <v>106</v>
      </c>
    </row>
    <row r="15" customFormat="false" ht="15" hidden="false" customHeight="false" outlineLevel="0" collapsed="false">
      <c r="A15" s="15" t="s">
        <v>107</v>
      </c>
    </row>
    <row r="16" customFormat="false" ht="15" hidden="false" customHeight="false" outlineLevel="0" collapsed="false">
      <c r="A16" s="15" t="s">
        <v>108</v>
      </c>
    </row>
    <row r="17" customFormat="false" ht="15" hidden="false" customHeight="false" outlineLevel="0" collapsed="false">
      <c r="A17" s="15" t="s">
        <v>109</v>
      </c>
    </row>
    <row r="18" customFormat="false" ht="15" hidden="false" customHeight="false" outlineLevel="0" collapsed="false">
      <c r="A18" s="15" t="s">
        <v>110</v>
      </c>
    </row>
    <row r="19" customFormat="false" ht="15" hidden="false" customHeight="false" outlineLevel="0" collapsed="false">
      <c r="A19" s="15" t="s">
        <v>111</v>
      </c>
    </row>
    <row r="20" customFormat="false" ht="15" hidden="false" customHeight="false" outlineLevel="0" collapsed="false">
      <c r="A20" s="15" t="s">
        <v>112</v>
      </c>
    </row>
  </sheetData>
  <dataValidations count="1">
    <dataValidation allowBlank="false" errorStyle="stop" operator="between" showDropDown="false" showErrorMessage="false" showInputMessage="false" sqref="B10" type="list">
      <formula1>"Out of 5,Relative"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2026-10-18T06:57:25Z</dcterms:created>
  <dc:creator>openpyxl</dc:creator>
  <dc:description/>
  <dc:language>en-US</dc:language>
  <cp:lastModifiedBy/>
  <dcterms:modified xsi:type="dcterms:W3CDTF">2026-10-18T06:57:25Z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